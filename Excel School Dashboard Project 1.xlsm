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ount\OneDrive\Bureau\Excel\MySelf\School Exam Grade Dashboard Project\"/>
    </mc:Choice>
  </mc:AlternateContent>
  <xr:revisionPtr revIDLastSave="0" documentId="13_ncr:1_{9F60020A-B4C5-482E-BF03-250D9C9910EA}" xr6:coauthVersionLast="47" xr6:coauthVersionMax="47" xr10:uidLastSave="{00000000-0000-0000-0000-000000000000}"/>
  <bookViews>
    <workbookView xWindow="-108" yWindow="-108" windowWidth="23256" windowHeight="12576" activeTab="1" xr2:uid="{7ECABA84-4669-4533-8EEE-18701DDCF98A}"/>
  </bookViews>
  <sheets>
    <sheet name="Données" sheetId="1" r:id="rId1"/>
    <sheet name="Tableau de Bord" sheetId="4" r:id="rId2"/>
  </sheets>
  <definedNames>
    <definedName name="_xleta.ROW" hidden="1" xlm="1">#NAME?</definedName>
    <definedName name="Segment_Décision1">#N/A</definedName>
  </definedNames>
  <calcPr calcId="191029"/>
  <pivotCaches>
    <pivotCache cacheId="6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D18" i="1"/>
  <c r="E18" i="1" s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D10" i="1"/>
  <c r="E10" i="1" s="1"/>
  <c r="D9" i="1"/>
  <c r="E9" i="1" s="1"/>
  <c r="D8" i="1"/>
  <c r="E8" i="1" s="1"/>
  <c r="D7" i="1"/>
  <c r="E7" i="1" s="1"/>
  <c r="D6" i="1"/>
  <c r="E6" i="1" s="1"/>
  <c r="D5" i="1"/>
  <c r="E5" i="1" s="1"/>
  <c r="D4" i="1"/>
  <c r="E4" i="1" s="1"/>
  <c r="D3" i="1"/>
  <c r="E3" i="1" s="1"/>
  <c r="L12" i="4"/>
  <c r="D2" i="4"/>
  <c r="C2" i="4"/>
</calcChain>
</file>

<file path=xl/sharedStrings.xml><?xml version="1.0" encoding="utf-8"?>
<sst xmlns="http://schemas.openxmlformats.org/spreadsheetml/2006/main" count="60" uniqueCount="42">
  <si>
    <t>Elève</t>
  </si>
  <si>
    <t>Note</t>
  </si>
  <si>
    <t>Décision</t>
  </si>
  <si>
    <t>Admis ou pas?</t>
  </si>
  <si>
    <t>Note2</t>
  </si>
  <si>
    <t>Mention</t>
  </si>
  <si>
    <t>Mountaga Diallo</t>
  </si>
  <si>
    <t>De 0 à 0,9</t>
  </si>
  <si>
    <t>Ajourné</t>
  </si>
  <si>
    <t>Mariama Soïndé</t>
  </si>
  <si>
    <t>De 10 à 11,9</t>
  </si>
  <si>
    <t>Passable</t>
  </si>
  <si>
    <t>Mamadou Diouf</t>
  </si>
  <si>
    <t>De 12 à 13,9</t>
  </si>
  <si>
    <t>Assez Bien</t>
  </si>
  <si>
    <t>Soda Ndiaye</t>
  </si>
  <si>
    <t>De 14 à 15,9</t>
  </si>
  <si>
    <t>Bien</t>
  </si>
  <si>
    <t>Ibrahima Gassama</t>
  </si>
  <si>
    <t>De 16 à 20</t>
  </si>
  <si>
    <t>Très Bien</t>
  </si>
  <si>
    <t>Diouldé Bah</t>
  </si>
  <si>
    <t>Sidiya Touré</t>
  </si>
  <si>
    <t>Fatou Kiné Lô</t>
  </si>
  <si>
    <t>Sokhna Marème Ndao</t>
  </si>
  <si>
    <t>Modou Sylla</t>
  </si>
  <si>
    <t>Ali Gadiaga</t>
  </si>
  <si>
    <t>Ndoumbé Ngom</t>
  </si>
  <si>
    <t>Mariatou Sow</t>
  </si>
  <si>
    <t>Maïmouna Diop</t>
  </si>
  <si>
    <t>Médoune Diagne</t>
  </si>
  <si>
    <t>Amadou Dia</t>
  </si>
  <si>
    <t>Total général</t>
  </si>
  <si>
    <t>Meilleur élève</t>
  </si>
  <si>
    <t>Max. de Note</t>
  </si>
  <si>
    <t>Moins bon élève</t>
  </si>
  <si>
    <t>Min. de Note</t>
  </si>
  <si>
    <t>Admis</t>
  </si>
  <si>
    <t>Nombre de Décision</t>
  </si>
  <si>
    <t>Moyenne de Note</t>
  </si>
  <si>
    <t>Nombre de Admis ou pas?</t>
  </si>
  <si>
    <t>Nombre de Elève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</si>
</sst>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rgb="FF000000"/>
      <name val="Aptos Narrow"/>
      <family val="2"/>
      <scheme val="minor"/>
    </font>
    <font>
      <sz val="10"/>
      <color rgb="FF00000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sz val="11"/>
      <color theme="7" tint="0.79998168889431442"/>
      <name val="Aptos Narrow"/>
      <family val="2"/>
      <scheme val="minor"/>
    </font>
    <font>
      <sz val="10"/>
      <color theme="7" tint="0.79998168889431442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2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0" xfId="0" applyFont="1" applyFill="1"/>
    <xf numFmtId="0" fontId="1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left" vertical="center" readingOrder="1"/>
    </xf>
    <xf numFmtId="0" fontId="5" fillId="4" borderId="0" xfId="0" applyFont="1" applyFill="1"/>
    <xf numFmtId="10" fontId="0" fillId="0" borderId="0" xfId="0" applyNumberFormat="1"/>
    <xf numFmtId="0" fontId="6" fillId="3" borderId="2" xfId="0" applyFont="1" applyFill="1" applyBorder="1" applyAlignment="1">
      <alignment wrapText="1"/>
    </xf>
    <xf numFmtId="0" fontId="6" fillId="3" borderId="2" xfId="0" applyFont="1" applyFill="1" applyBorder="1" applyAlignment="1">
      <alignment horizontal="left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 wrapText="1"/>
    </xf>
    <xf numFmtId="0" fontId="0" fillId="0" borderId="0" xfId="0" applyNumberFormat="1"/>
  </cellXfs>
  <cellStyles count="1">
    <cellStyle name="Normal" xfId="0" builtinId="0"/>
  </cellStyles>
  <dxfs count="53">
    <dxf>
      <alignment wrapText="1"/>
    </dxf>
    <dxf>
      <alignment horizontal="left"/>
    </dxf>
    <dxf>
      <numFmt numFmtId="14" formatCode="0.00%"/>
    </dxf>
    <dxf>
      <alignment wrapText="1"/>
    </dxf>
    <dxf>
      <alignment horizontal="left"/>
    </dxf>
    <dxf>
      <alignment wrapText="1"/>
    </dxf>
    <dxf>
      <alignment horizontal="left"/>
    </dxf>
    <dxf>
      <numFmt numFmtId="2" formatCode="0.00"/>
    </dxf>
    <dxf>
      <alignment wrapText="1"/>
    </dxf>
    <dxf>
      <alignment horizontal="left"/>
    </dxf>
    <dxf>
      <alignment wrapText="1"/>
    </dxf>
    <dxf>
      <alignment horizontal="left"/>
    </dxf>
    <dxf>
      <numFmt numFmtId="14" formatCode="0.00%"/>
    </dxf>
    <dxf>
      <alignment wrapText="1"/>
    </dxf>
    <dxf>
      <alignment horizontal="left"/>
    </dxf>
    <dxf>
      <alignment wrapText="1"/>
    </dxf>
    <dxf>
      <alignment horizontal="left"/>
    </dxf>
    <dxf>
      <numFmt numFmtId="14" formatCode="0.00%"/>
    </dxf>
    <dxf>
      <alignment wrapText="1"/>
    </dxf>
    <dxf>
      <alignment horizontal="left"/>
    </dxf>
    <dxf>
      <alignment wrapText="1"/>
    </dxf>
    <dxf>
      <alignment horizontal="left"/>
    </dxf>
    <dxf>
      <numFmt numFmtId="2" formatCode="0.00"/>
    </dxf>
    <dxf>
      <alignment wrapText="1"/>
    </dxf>
    <dxf>
      <alignment horizontal="left"/>
    </dxf>
    <dxf>
      <alignment wrapText="1"/>
    </dxf>
    <dxf>
      <alignment horizontal="left"/>
    </dxf>
    <dxf>
      <numFmt numFmtId="14" formatCode="0.00%"/>
    </dxf>
    <dxf>
      <alignment wrapText="1"/>
    </dxf>
    <dxf>
      <alignment horizontal="left"/>
    </dxf>
    <dxf>
      <alignment horizontal="left"/>
    </dxf>
    <dxf>
      <alignment wrapText="1"/>
    </dxf>
    <dxf>
      <alignment horizontal="left"/>
    </dxf>
    <dxf>
      <alignment wrapText="1"/>
    </dxf>
    <dxf>
      <numFmt numFmtId="2" formatCode="0.00"/>
    </dxf>
    <dxf>
      <alignment horizontal="left"/>
    </dxf>
    <dxf>
      <alignment wrapText="1"/>
    </dxf>
    <dxf>
      <numFmt numFmtId="14" formatCode="0.00%"/>
    </dxf>
    <dxf>
      <alignment horizontal="left"/>
    </dxf>
    <dxf>
      <alignment wrapText="1"/>
    </dxf>
    <dxf>
      <numFmt numFmtId="14" formatCode="0.00%"/>
    </dxf>
    <dxf>
      <alignment horizontal="left"/>
    </dxf>
    <dxf>
      <alignment wrapText="1"/>
    </dxf>
    <dxf>
      <alignment horizontal="left"/>
    </dxf>
    <dxf>
      <alignment wrapText="1"/>
    </dxf>
    <dxf>
      <alignment horizontal="left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Narrow"/>
        <family val="2"/>
        <scheme val="minor"/>
      </font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School Dashboard Project 1.xlsm]Tableau de Bord!Tableau croisé dynamique17</c:name>
    <c:fmtId val="0"/>
  </c:pivotSource>
  <c:chart>
    <c:title>
      <c:tx>
        <c:strRef>
          <c:f>'Tableau de Bord'!$B$2</c:f>
          <c:strCache>
            <c:ptCount val="1"/>
            <c:pt idx="0">
              <c:v>Nombre d'élèves par Mention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4">
              <a:lumMod val="75000"/>
              <a:alpha val="50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4">
              <a:lumMod val="75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</c:pivotFmt>
      <c:pivotFmt>
        <c:idx val="2"/>
        <c:spPr>
          <a:solidFill>
            <a:srgbClr val="FF0000">
              <a:alpha val="86000"/>
            </a:srgbClr>
          </a:solidFill>
          <a:ln>
            <a:solidFill>
              <a:srgbClr val="FF0000"/>
            </a:solidFill>
          </a:ln>
          <a:effectLst/>
        </c:spPr>
      </c:pivotFmt>
      <c:pivotFmt>
        <c:idx val="3"/>
        <c:spPr>
          <a:solidFill>
            <a:schemeClr val="accent4">
              <a:lumMod val="75000"/>
              <a:alpha val="50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>
              <a:alpha val="86000"/>
            </a:srgbClr>
          </a:solidFill>
          <a:ln>
            <a:solidFill>
              <a:srgbClr val="FF0000"/>
            </a:solidFill>
          </a:ln>
          <a:effectLst/>
        </c:spPr>
      </c:pivotFmt>
      <c:pivotFmt>
        <c:idx val="5"/>
        <c:spPr>
          <a:solidFill>
            <a:schemeClr val="accent4">
              <a:lumMod val="75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</c:pivotFmt>
      <c:pivotFmt>
        <c:idx val="6"/>
        <c:spPr>
          <a:solidFill>
            <a:schemeClr val="accent4">
              <a:lumMod val="75000"/>
              <a:alpha val="50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>
              <a:alpha val="86000"/>
            </a:srgbClr>
          </a:solidFill>
          <a:ln>
            <a:solidFill>
              <a:srgbClr val="FF0000"/>
            </a:solidFill>
          </a:ln>
          <a:effectLst/>
        </c:spPr>
      </c:pivotFmt>
      <c:pivotFmt>
        <c:idx val="8"/>
        <c:spPr>
          <a:solidFill>
            <a:schemeClr val="accent4">
              <a:lumMod val="75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</c:pivotFmt>
      <c:pivotFmt>
        <c:idx val="9"/>
        <c:spPr>
          <a:solidFill>
            <a:schemeClr val="accent4">
              <a:lumMod val="75000"/>
              <a:alpha val="50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</c:pivotFmt>
      <c:pivotFmt>
        <c:idx val="10"/>
        <c:spPr>
          <a:solidFill>
            <a:schemeClr val="accent4">
              <a:lumMod val="75000"/>
              <a:alpha val="50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</c:pivotFmt>
      <c:pivotFmt>
        <c:idx val="11"/>
        <c:spPr>
          <a:solidFill>
            <a:schemeClr val="accent4">
              <a:lumMod val="75000"/>
              <a:alpha val="50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</c:pivotFmt>
      <c:pivotFmt>
        <c:idx val="12"/>
        <c:spPr>
          <a:solidFill>
            <a:schemeClr val="accent4">
              <a:lumMod val="75000"/>
              <a:alpha val="50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>
              <a:alpha val="86000"/>
            </a:srgbClr>
          </a:solidFill>
          <a:ln>
            <a:solidFill>
              <a:srgbClr val="FF0000"/>
            </a:solidFill>
          </a:ln>
          <a:effectLst/>
        </c:spPr>
      </c:pivotFmt>
      <c:pivotFmt>
        <c:idx val="14"/>
        <c:spPr>
          <a:solidFill>
            <a:schemeClr val="accent4">
              <a:lumMod val="75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0000"/>
          </a:solidFill>
          <a:ln>
            <a:noFill/>
          </a:ln>
          <a:effectLst/>
        </c:spPr>
      </c:pivotFmt>
      <c:pivotFmt>
        <c:idx val="2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2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'Tableau de Bord'!$B$2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4BC-4420-9AA1-214DF3AD6CC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4BC-4420-9AA1-214DF3AD6CC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4BC-4420-9AA1-214DF3AD6CC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74BC-4420-9AA1-214DF3AD6C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'Tableau de Bord'!$B$2</c:f>
              <c:strCache>
                <c:ptCount val="1"/>
                <c:pt idx="0">
                  <c:v>Très Bien</c:v>
                </c:pt>
              </c:strCache>
            </c:strRef>
          </c:cat>
          <c:val>
            <c:numRef>
              <c:f>'Tableau de Bord'!$B$2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C-4420-9AA1-214DF3AD6C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6"/>
        <c:axId val="731706304"/>
        <c:axId val="731704384"/>
      </c:barChart>
      <c:catAx>
        <c:axId val="731706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1704384"/>
        <c:crosses val="autoZero"/>
        <c:auto val="1"/>
        <c:lblAlgn val="ctr"/>
        <c:lblOffset val="100"/>
        <c:noMultiLvlLbl val="0"/>
      </c:catAx>
      <c:valAx>
        <c:axId val="731704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1706304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School Dashboard Project 1.xlsm]Tableau de Bord!Tableau croisé dynamique18</c:name>
    <c:fmtId val="1"/>
  </c:pivotSource>
  <c:chart>
    <c:title>
      <c:tx>
        <c:strRef>
          <c:f>'Tableau de Bord'!$D$2</c:f>
          <c:strCache>
            <c:ptCount val="1"/>
            <c:pt idx="0">
              <c:v>#REF!</c:v>
            </c:pt>
          </c:strCache>
        </c:strRef>
      </c:tx>
      <c:layout>
        <c:manualLayout>
          <c:xMode val="edge"/>
          <c:yMode val="edge"/>
          <c:x val="0.15461439393939394"/>
          <c:y val="3.0238095238095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4">
              <a:lumMod val="75000"/>
              <a:alpha val="77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4">
              <a:lumMod val="75000"/>
              <a:alpha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4">
              <a:lumMod val="75000"/>
              <a:alpha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4">
              <a:lumMod val="75000"/>
              <a:alpha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4">
              <a:lumMod val="75000"/>
              <a:alpha val="77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4">
              <a:lumMod val="75000"/>
              <a:alpha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4">
              <a:lumMod val="75000"/>
              <a:alpha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4">
              <a:lumMod val="75000"/>
              <a:alpha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4">
              <a:lumMod val="75000"/>
              <a:alpha val="77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4">
              <a:lumMod val="75000"/>
              <a:alpha val="79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4">
              <a:lumMod val="60000"/>
              <a:lumOff val="40000"/>
              <a:alpha val="9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4">
              <a:lumMod val="40000"/>
              <a:lumOff val="60000"/>
              <a:alpha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4">
              <a:lumMod val="75000"/>
              <a:alpha val="77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4">
              <a:lumMod val="75000"/>
              <a:alpha val="79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4">
              <a:lumMod val="60000"/>
              <a:lumOff val="40000"/>
              <a:alpha val="9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4">
              <a:lumMod val="40000"/>
              <a:lumOff val="60000"/>
              <a:alpha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0"/>
        <c:ser>
          <c:idx val="0"/>
          <c:order val="0"/>
          <c:tx>
            <c:strRef>
              <c:f>'Tableau de Bord'!$D$2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4933-4333-9BF1-673EE93A3C0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4933-4333-9BF1-673EE93A3C0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5-4933-4333-9BF1-673EE93A3C0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7-4933-4333-9BF1-673EE93A3C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'Tableau de Bord'!$D$2</c:f>
              <c:strCache>
                <c:ptCount val="1"/>
                <c:pt idx="0">
                  <c:v>Très Bien</c:v>
                </c:pt>
              </c:strCache>
            </c:strRef>
          </c:cat>
          <c:val>
            <c:numRef>
              <c:f>'Tableau de Bord'!$D$2</c:f>
              <c:numCache>
                <c:formatCode>0.00%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33-4333-9BF1-673EE93A3C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'Tableau de Bord'!$C$2</c:f>
          <c:strCache>
            <c:ptCount val="1"/>
            <c:pt idx="0">
              <c:v>#REF!</c:v>
            </c:pt>
          </c:strCache>
        </c:strRef>
      </c:tx>
      <c:layout>
        <c:manualLayout>
          <c:xMode val="edge"/>
          <c:yMode val="edge"/>
          <c:x val="0.10122474747474748"/>
          <c:y val="2.01587301587301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>
              <a:alpha val="93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0000">
              <a:alpha val="93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accent4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>
              <a:alpha val="93000"/>
            </a:srgb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FF0000">
              <a:alpha val="93000"/>
            </a:srgb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>
              <a:lumMod val="75000"/>
              <a:alpha val="93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FF0000">
              <a:alpha val="93000"/>
            </a:srgb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spPr>
            <a:solidFill>
              <a:schemeClr val="accent4">
                <a:lumMod val="75000"/>
                <a:alpha val="93000"/>
              </a:schemeClr>
            </a:solidFill>
          </c:spPr>
          <c:dPt>
            <c:idx val="0"/>
            <c:bubble3D val="0"/>
            <c:spPr>
              <a:solidFill>
                <a:schemeClr val="accent4">
                  <a:lumMod val="75000"/>
                  <a:alpha val="9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10-46BA-85FA-EDF3669C2BED}"/>
              </c:ext>
            </c:extLst>
          </c:dPt>
          <c:dPt>
            <c:idx val="1"/>
            <c:bubble3D val="0"/>
            <c:spPr>
              <a:solidFill>
                <a:srgbClr val="FF0000">
                  <a:alpha val="93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10-46BA-85FA-EDF3669C2B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'Tableau de Bord'!$L$15:$L$16</c:f>
              <c:strCache>
                <c:ptCount val="2"/>
                <c:pt idx="0">
                  <c:v>Admis</c:v>
                </c:pt>
                <c:pt idx="1">
                  <c:v>Total général</c:v>
                </c:pt>
              </c:strCache>
            </c:strRef>
          </c:cat>
          <c:val>
            <c:numRef>
              <c:f>'Tableau de Bord'!$M$15:$M$16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0-4F82-B7B3-57E42E1F55E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'Tableau de Bord'!$L$12</c:f>
          <c:strCache>
            <c:ptCount val="1"/>
            <c:pt idx="0">
              <c:v>Mariama Soïndé</c:v>
            </c:pt>
          </c:strCache>
        </c:strRef>
      </c:tx>
      <c:layout>
        <c:manualLayout>
          <c:xMode val="edge"/>
          <c:yMode val="edge"/>
          <c:x val="0.50958131313131305"/>
          <c:y val="8.355555555555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howDataLabelsRange val="1"/>
            </c:ext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-8.3333333333333835E-3"/>
              <c:y val="-0.2546296296296297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880ED6A-8641-4EE8-9AC4-7063C03B5994}" type="CELLRANGE">
                  <a:rPr lang="en-US"/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[PLAGECELL]</a:t>
                </a:fld>
                <a:endParaRPr lang="en-US" baseline="0"/>
              </a:p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20BB89D-EB31-441E-BF33-30CA374E5E38}" type="VALUE">
                  <a:rPr lang="en-US"/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[VALEUR]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howDataLabelsRange val="1"/>
            </c:ext>
          </c:extLst>
        </c:dLbl>
      </c:pivotFmt>
      <c:pivotFmt>
        <c:idx val="3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-8.3333333333333835E-3"/>
              <c:y val="-0.2546296296296297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880ED6A-8641-4EE8-9AC4-7063C03B5994}" type="CELLRANGE">
                  <a:rPr lang="en-US"/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[PLAGECELL]</a:t>
                </a:fld>
                <a:endParaRPr lang="en-US" baseline="0"/>
              </a:p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20BB89D-EB31-441E-BF33-30CA374E5E38}" type="VALUE">
                  <a:rPr lang="en-US"/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[VALEUR]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4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>
              <c15:showDataLabelsRange val="1"/>
            </c:ext>
          </c:extLst>
        </c:dLbl>
      </c:pivotFmt>
      <c:pivotFmt>
        <c:idx val="5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-8.3333333333333835E-3"/>
              <c:y val="-0.2546296296296297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880ED6A-8641-4EE8-9AC4-7063C03B5994}" type="CELLRANGE">
                  <a:rPr lang="en-US" sz="1200" b="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[PLAGECELL]</a:t>
                </a:fld>
                <a:endParaRPr lang="en-US" sz="1200" b="0" baseline="0"/>
              </a:p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20BB89D-EB31-441E-BF33-30CA374E5E38}" type="VALUE">
                  <a:rPr lang="en-US" sz="1200" b="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[VALEUR]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6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>
              <c15:showDataLabelsRange val="1"/>
            </c:ext>
          </c:extLst>
        </c:dLbl>
      </c:pivotFmt>
      <c:pivotFmt>
        <c:idx val="7"/>
        <c:spPr>
          <a:solidFill>
            <a:schemeClr val="bg2">
              <a:lumMod val="50000"/>
            </a:schemeClr>
          </a:solidFill>
          <a:ln w="19050">
            <a:noFill/>
          </a:ln>
          <a:effectLst/>
        </c:spPr>
        <c:dLbl>
          <c:idx val="0"/>
          <c:layout>
            <c:manualLayout>
              <c:x val="-8.3333333333333835E-3"/>
              <c:y val="-0.2546296296296297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880ED6A-8641-4EE8-9AC4-7063C03B5994}" type="CELLRANGE">
                  <a:rPr lang="en-US" sz="1200" b="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[PLAGECELL]</a:t>
                </a:fld>
                <a:endParaRPr lang="en-US" sz="1200" b="0" baseline="0"/>
              </a:p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20BB89D-EB31-441E-BF33-30CA374E5E38}" type="VALUE">
                  <a:rPr lang="en-US" sz="1200" b="0"/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t>[VALEUR]</a:t>
                </a:fld>
                <a:endParaRPr lang="fr-F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separator>, </c:separator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spPr>
            <a:solidFill>
              <a:schemeClr val="bg2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B5-4A5D-8438-C4EA266B915A}"/>
              </c:ext>
            </c:extLst>
          </c:dPt>
          <c:dLbls>
            <c:dLbl>
              <c:idx val="0"/>
              <c:layout>
                <c:manualLayout>
                  <c:x val="1.090909090909091E-2"/>
                  <c:y val="-0.31107407407407406"/>
                </c:manualLayout>
              </c:layout>
              <c:tx>
                <c:rich>
                  <a:bodyPr/>
                  <a:lstStyle/>
                  <a:p>
                    <a:fld id="{F39B5350-927F-4209-90E3-BA74FE0F4551}" type="CELLRANGE">
                      <a:rPr lang="en-US"/>
                      <a:pPr/>
                      <a:t>[PLAGECELL]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4B5-4A5D-8438-C4EA266B91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5="http://schemas.microsoft.com/office/drawing/2012/chart" uri="{02D57815-91ED-43cb-92C2-25804820EDAC}">
              <c15:datalabelsRange>
                <c15:f>'Tableau de Bord'!$M$12</c15:f>
                <c15:dlblRangeCache>
                  <c:ptCount val="1"/>
                  <c:pt idx="0">
                    <c:v>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D4B5-4A5D-8438-C4EA266B915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8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School Dashboard Project 1.xlsm]Tableau de Bord!Tableau croisé dynamique22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FF0000"/>
          </a:solidFill>
          <a:ln>
            <a:noFill/>
          </a:ln>
          <a:effectLst/>
        </c:spPr>
      </c:pivotFmt>
      <c:pivotFmt>
        <c:idx val="1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1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'Tableau de Bord'!$S$4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632-46BB-81FC-6FACB09AD61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632-46BB-81FC-6FACB09AD615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4632-46BB-81FC-6FACB09AD615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4632-46BB-81FC-6FACB09AD61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4632-46BB-81FC-6FACB09AD615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4632-46BB-81FC-6FACB09AD615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4632-46BB-81FC-6FACB09AD61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4632-46BB-81FC-6FACB09AD615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4632-46BB-81FC-6FACB09AD615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4632-46BB-81FC-6FACB09AD615}"/>
              </c:ext>
            </c:extLst>
          </c:dPt>
          <c:cat>
            <c:strRef>
              <c:f>'Tableau de Bord'!$R$5:$R$11</c:f>
              <c:strCache>
                <c:ptCount val="7"/>
                <c:pt idx="0">
                  <c:v>Ali Gadiaga</c:v>
                </c:pt>
                <c:pt idx="1">
                  <c:v>Diouldé Bah</c:v>
                </c:pt>
                <c:pt idx="2">
                  <c:v>Mamadou Diouf</c:v>
                </c:pt>
                <c:pt idx="3">
                  <c:v>Mariama Soïndé</c:v>
                </c:pt>
                <c:pt idx="4">
                  <c:v>Mountaga Diallo</c:v>
                </c:pt>
                <c:pt idx="5">
                  <c:v>Sidiya Touré</c:v>
                </c:pt>
                <c:pt idx="6">
                  <c:v>Sokhna Marème Ndao</c:v>
                </c:pt>
              </c:strCache>
            </c:strRef>
          </c:cat>
          <c:val>
            <c:numRef>
              <c:f>'Tableau de Bord'!$S$5:$S$11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632-46BB-81FC-6FACB09AD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axId val="960739919"/>
        <c:axId val="960738959"/>
      </c:barChart>
      <c:catAx>
        <c:axId val="9607399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0738959"/>
        <c:crosses val="autoZero"/>
        <c:auto val="1"/>
        <c:lblAlgn val="ctr"/>
        <c:lblOffset val="100"/>
        <c:noMultiLvlLbl val="0"/>
      </c:catAx>
      <c:valAx>
        <c:axId val="9607389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60739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2</xdr:row>
      <xdr:rowOff>20340</xdr:rowOff>
    </xdr:from>
    <xdr:to>
      <xdr:col>5</xdr:col>
      <xdr:colOff>508140</xdr:colOff>
      <xdr:row>14</xdr:row>
      <xdr:rowOff>182880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AEB9F-6B25-411F-85E6-A7B50DE05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508140</xdr:colOff>
      <xdr:row>2</xdr:row>
      <xdr:rowOff>20340</xdr:rowOff>
    </xdr:from>
    <xdr:to>
      <xdr:col>10</xdr:col>
      <xdr:colOff>124740</xdr:colOff>
      <xdr:row>14</xdr:row>
      <xdr:rowOff>182880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63998D9-468F-4471-B8E4-C89F7DF125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15</xdr:row>
      <xdr:rowOff>0</xdr:rowOff>
    </xdr:from>
    <xdr:to>
      <xdr:col>5</xdr:col>
      <xdr:colOff>508140</xdr:colOff>
      <xdr:row>28</xdr:row>
      <xdr:rowOff>124440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9264C62-B6F1-4FA9-AEB8-194C6E32F5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508140</xdr:colOff>
      <xdr:row>14</xdr:row>
      <xdr:rowOff>182880</xdr:rowOff>
    </xdr:from>
    <xdr:to>
      <xdr:col>10</xdr:col>
      <xdr:colOff>124740</xdr:colOff>
      <xdr:row>28</xdr:row>
      <xdr:rowOff>109200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3AD6E4E-ED31-474F-A6C0-D78FFFECE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22860</xdr:colOff>
      <xdr:row>0</xdr:row>
      <xdr:rowOff>121920</xdr:rowOff>
    </xdr:from>
    <xdr:to>
      <xdr:col>16</xdr:col>
      <xdr:colOff>0</xdr:colOff>
      <xdr:row>1</xdr:row>
      <xdr:rowOff>137160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écision 1">
              <a:extLst>
                <a:ext uri="{FF2B5EF4-FFF2-40B4-BE49-F238E27FC236}">
                  <a16:creationId xmlns:a16="http://schemas.microsoft.com/office/drawing/2014/main" id="{278A091B-864C-4388-AEC2-F9F815CBE8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écis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260" y="121920"/>
              <a:ext cx="12237720" cy="731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10</xdr:col>
      <xdr:colOff>160020</xdr:colOff>
      <xdr:row>2</xdr:row>
      <xdr:rowOff>20340</xdr:rowOff>
    </xdr:from>
    <xdr:to>
      <xdr:col>16</xdr:col>
      <xdr:colOff>0</xdr:colOff>
      <xdr:row>28</xdr:row>
      <xdr:rowOff>109200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A9712C99-7A0B-4D28-AF1D-3148003CA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634109</xdr:colOff>
      <xdr:row>16</xdr:row>
      <xdr:rowOff>7620</xdr:rowOff>
    </xdr:from>
    <xdr:ext cx="1103251" cy="280205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1112F472-EFDC-BAE1-A2E3-8B833E10AAE7}"/>
            </a:ext>
          </a:extLst>
        </xdr:cNvPr>
        <xdr:cNvSpPr txBox="1"/>
      </xdr:nvSpPr>
      <xdr:spPr>
        <a:xfrm>
          <a:off x="5129909" y="4061460"/>
          <a:ext cx="110325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/>
            <a:t>Meilleur</a:t>
          </a:r>
          <a:r>
            <a:rPr lang="fr-FR" sz="1200" baseline="0"/>
            <a:t> élève :</a:t>
          </a:r>
          <a:endParaRPr lang="fr-FR" sz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137160</xdr:rowOff>
        </xdr:from>
        <xdr:to>
          <xdr:col>20</xdr:col>
          <xdr:colOff>259080</xdr:colOff>
          <xdr:row>1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ptos Narrow"/>
                </a:rPr>
                <a:t>Actualiser Tout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untaga Diallo" refreshedDate="45580.899272453702" createdVersion="8" refreshedVersion="8" minRefreshableVersion="3" recordCount="16" xr:uid="{6F5DF0BB-65FF-4291-956C-272F931597B3}">
  <cacheSource type="worksheet">
    <worksheetSource ref="B2:E18" sheet="Données"/>
  </cacheSource>
  <cacheFields count="4">
    <cacheField name="Elève" numFmtId="0">
      <sharedItems count="16">
        <s v="Mountaga Diallo"/>
        <s v="Mariama Soïndé"/>
        <s v="Mamadou Diouf"/>
        <s v="Soda Ndiaye"/>
        <s v="Ibrahima Gassama"/>
        <s v="Diouldé Bah"/>
        <s v="Sidiya Touré"/>
        <s v="Fatou Kiné Lô"/>
        <s v="Sokhna Marème Ndao"/>
        <s v="Modou Sylla"/>
        <s v="Ali Gadiaga"/>
        <s v="Ndoumbé Ngom"/>
        <s v="Mariatou Sow"/>
        <s v="Maïmouna Diop"/>
        <s v="Médoune Diagne"/>
        <s v="Amadou Dia"/>
      </sharedItems>
    </cacheField>
    <cacheField name="Note" numFmtId="0">
      <sharedItems containsSemiMixedTypes="0" containsString="0" containsNumber="1" minValue="8.5" maxValue="20"/>
    </cacheField>
    <cacheField name="Décision" numFmtId="0">
      <sharedItems count="5">
        <s v="Très Bien"/>
        <s v="Assez Bien"/>
        <s v="Passable"/>
        <s v="Ajourné"/>
        <s v="Bien"/>
      </sharedItems>
    </cacheField>
    <cacheField name="Admis ou pas?" numFmtId="0">
      <sharedItems count="2">
        <s v="Admis"/>
        <s v="Pas admis"/>
      </sharedItems>
    </cacheField>
  </cacheFields>
  <extLst>
    <ext xmlns:x14="http://schemas.microsoft.com/office/spreadsheetml/2009/9/main" uri="{725AE2AE-9491-48be-B2B4-4EB974FC3084}">
      <x14:pivotCacheDefinition pivotCacheId="142580347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19"/>
    <x v="0"/>
    <x v="0"/>
  </r>
  <r>
    <x v="1"/>
    <n v="20"/>
    <x v="0"/>
    <x v="0"/>
  </r>
  <r>
    <x v="2"/>
    <n v="18"/>
    <x v="0"/>
    <x v="0"/>
  </r>
  <r>
    <x v="3"/>
    <n v="12.5"/>
    <x v="1"/>
    <x v="0"/>
  </r>
  <r>
    <x v="4"/>
    <n v="10"/>
    <x v="2"/>
    <x v="0"/>
  </r>
  <r>
    <x v="5"/>
    <n v="16"/>
    <x v="0"/>
    <x v="0"/>
  </r>
  <r>
    <x v="6"/>
    <n v="17"/>
    <x v="0"/>
    <x v="0"/>
  </r>
  <r>
    <x v="7"/>
    <n v="8.5"/>
    <x v="3"/>
    <x v="1"/>
  </r>
  <r>
    <x v="8"/>
    <n v="18"/>
    <x v="0"/>
    <x v="0"/>
  </r>
  <r>
    <x v="9"/>
    <n v="14"/>
    <x v="4"/>
    <x v="0"/>
  </r>
  <r>
    <x v="10"/>
    <n v="17"/>
    <x v="0"/>
    <x v="0"/>
  </r>
  <r>
    <x v="11"/>
    <n v="13"/>
    <x v="1"/>
    <x v="0"/>
  </r>
  <r>
    <x v="12"/>
    <n v="10"/>
    <x v="2"/>
    <x v="0"/>
  </r>
  <r>
    <x v="13"/>
    <n v="9.5"/>
    <x v="3"/>
    <x v="1"/>
  </r>
  <r>
    <x v="14"/>
    <n v="11"/>
    <x v="2"/>
    <x v="0"/>
  </r>
  <r>
    <x v="15"/>
    <n v="9"/>
    <x v="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91BA61-7D3D-4254-A62C-59D676250931}" name="Tableau croisé dynamique22" cacheId="6" applyNumberFormats="0" applyBorderFormats="0" applyFontFormats="0" applyPatternFormats="0" applyAlignmentFormats="0" applyWidthHeightFormats="1" dataCaption="Valeurs" updatedVersion="8" minRefreshableVersion="3" rowGrandTotals="0" colGrandTotals="0" itemPrintTitles="1" createdVersion="8" indent="0" compact="0" compactData="0" multipleFieldFilters="0" chartFormat="3">
  <location ref="R4:S11" firstHeaderRow="1" firstDataRow="1" firstDataCol="1"/>
  <pivotFields count="4">
    <pivotField axis="axisRow" dataField="1" compact="0" outline="0" showAll="0">
      <items count="17">
        <item x="10"/>
        <item x="15"/>
        <item x="5"/>
        <item x="7"/>
        <item x="4"/>
        <item x="13"/>
        <item x="2"/>
        <item x="1"/>
        <item x="12"/>
        <item x="14"/>
        <item x="9"/>
        <item x="0"/>
        <item x="11"/>
        <item x="6"/>
        <item x="3"/>
        <item x="8"/>
        <item t="default"/>
      </items>
    </pivotField>
    <pivotField compact="0" outline="0" showAll="0"/>
    <pivotField compact="0" outline="0" showAll="0">
      <items count="6">
        <item h="1" x="3"/>
        <item h="1" x="1"/>
        <item h="1" x="4"/>
        <item h="1" x="2"/>
        <item x="0"/>
        <item t="default"/>
      </items>
    </pivotField>
    <pivotField compact="0" outline="0" showAll="0"/>
  </pivotFields>
  <rowFields count="1">
    <field x="0"/>
  </rowFields>
  <rowItems count="7">
    <i>
      <x/>
    </i>
    <i>
      <x v="2"/>
    </i>
    <i>
      <x v="6"/>
    </i>
    <i>
      <x v="7"/>
    </i>
    <i>
      <x v="11"/>
    </i>
    <i>
      <x v="13"/>
    </i>
    <i>
      <x v="15"/>
    </i>
  </rowItems>
  <colItems count="1">
    <i/>
  </colItems>
  <dataFields count="1">
    <dataField name="Nombre de Elève" fld="0" subtotal="count" baseField="0" baseItem="0"/>
  </dataFields>
  <formats count="2">
    <format dxfId="31">
      <pivotArea dataOnly="0" labelOnly="1" outline="0" axis="axisValues" fieldPosition="0"/>
    </format>
    <format dxfId="30">
      <pivotArea dataOnly="0" labelOnly="1" outline="0" axis="axisValues" fieldPosition="0"/>
    </format>
  </format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0C3B9-93AF-43C3-BC96-EB97829C0946}" name="Tableau croisé dynamique19" cacheId="6" applyNumberFormats="0" applyBorderFormats="0" applyFontFormats="0" applyPatternFormats="0" applyAlignmentFormats="0" applyWidthHeightFormats="1" dataCaption="Valeurs" updatedVersion="8" minRefreshableVersion="3" itemPrintTitles="1" createdVersion="8" indent="0" compact="0" compactData="0" multipleFieldFilters="0">
  <location ref="M11:M12" firstHeaderRow="1" firstDataRow="1" firstDataCol="0"/>
  <pivotFields count="4">
    <pivotField compact="0" outline="0" showAll="0"/>
    <pivotField dataField="1" compact="0" outline="0" showAll="0"/>
    <pivotField compact="0" outline="0" showAll="0"/>
    <pivotField compact="0" outline="0" showAll="0"/>
  </pivotFields>
  <rowItems count="1">
    <i/>
  </rowItems>
  <colItems count="1">
    <i/>
  </colItems>
  <dataFields count="1">
    <dataField name="Max. de Note" fld="1" subtotal="max" baseField="0" baseItem="0"/>
  </dataFields>
  <formats count="2">
    <format dxfId="33">
      <pivotArea dataOnly="0" labelOnly="1" outline="0" axis="axisValues" fieldPosition="0"/>
    </format>
    <format dxfId="3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FB818-F8CB-4B53-AD4B-13469414A484}" name="Tableau croisé dynamique21" cacheId="6" applyNumberFormats="0" applyBorderFormats="0" applyFontFormats="0" applyPatternFormats="0" applyAlignmentFormats="0" applyWidthHeightFormats="1" dataCaption="Valeurs" updatedVersion="8" minRefreshableVersion="3" itemPrintTitles="1" createdVersion="8" indent="0" compact="0" compactData="0" multipleFieldFilters="0">
  <location ref="O14:O15" firstHeaderRow="1" firstDataRow="1" firstDataCol="0"/>
  <pivotFields count="4">
    <pivotField compact="0" outline="0" showAll="0"/>
    <pivotField dataField="1" compact="0" outline="0" showAll="0"/>
    <pivotField compact="0" outline="0" showAll="0">
      <items count="6">
        <item h="1" x="3"/>
        <item h="1" x="1"/>
        <item h="1" x="4"/>
        <item h="1" x="2"/>
        <item x="0"/>
        <item t="default"/>
      </items>
    </pivotField>
    <pivotField compact="0" outline="0" showAll="0"/>
  </pivotFields>
  <rowItems count="1">
    <i/>
  </rowItems>
  <colItems count="1">
    <i/>
  </colItems>
  <dataFields count="1">
    <dataField name="Moyenne de Note" fld="1" subtotal="average" baseField="0" baseItem="0" numFmtId="2"/>
  </dataFields>
  <formats count="3">
    <format dxfId="36">
      <pivotArea dataOnly="0" labelOnly="1" outline="0" axis="axisValues" fieldPosition="0"/>
    </format>
    <format dxfId="35">
      <pivotArea dataOnly="0" labelOnly="1" outline="0" axis="axisValues" fieldPosition="0"/>
    </format>
    <format dxfId="3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A24295-AF58-40BB-8F00-DB7EDAFA009E}" name="Tableau croisé dynamique18" cacheId="6" applyNumberFormats="0" applyBorderFormats="0" applyFontFormats="0" applyPatternFormats="0" applyAlignmentFormats="0" applyWidthHeightFormats="1" dataCaption="Valeurs" updatedVersion="8" minRefreshableVersion="3" itemPrintTitles="1" createdVersion="8" indent="0" compact="0" compactData="0" multipleFieldFilters="0" chartFormat="2">
  <location ref="O3:P5" firstHeaderRow="1" firstDataRow="1" firstDataCol="1"/>
  <pivotFields count="4">
    <pivotField compact="0" outline="0" showAll="0"/>
    <pivotField compact="0" outline="0" showAll="0"/>
    <pivotField axis="axisRow" dataField="1" compact="0" outline="0" showAll="0" sortType="descending">
      <items count="6">
        <item h="1" x="3"/>
        <item h="1" x="1"/>
        <item h="1" x="4"/>
        <item h="1"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</pivotFields>
  <rowFields count="1">
    <field x="2"/>
  </rowFields>
  <rowItems count="2">
    <i>
      <x v="4"/>
    </i>
    <i t="grand">
      <x/>
    </i>
  </rowItems>
  <colItems count="1">
    <i/>
  </colItems>
  <dataFields count="1">
    <dataField name="Nombre de Décision" fld="2" subtotal="count" showDataAs="percentOfCol" baseField="2" baseItem="0" numFmtId="10"/>
  </dataFields>
  <formats count="3">
    <format dxfId="39">
      <pivotArea dataOnly="0" labelOnly="1" outline="0" axis="axisValues" fieldPosition="0"/>
    </format>
    <format dxfId="38">
      <pivotArea dataOnly="0" labelOnly="1" outline="0" axis="axisValues" fieldPosition="0"/>
    </format>
    <format dxfId="37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8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0F123-985B-4765-BCF2-C1A7C5914FE8}" name="Tableau croisé dynamique24" cacheId="6" applyNumberFormats="0" applyBorderFormats="0" applyFontFormats="0" applyPatternFormats="0" applyAlignmentFormats="0" applyWidthHeightFormats="1" dataCaption="Valeurs" updatedVersion="8" minRefreshableVersion="3" itemPrintTitles="1" createdVersion="8" indent="0" compact="0" compactData="0" multipleFieldFilters="0">
  <location ref="L14:M16" firstHeaderRow="1" firstDataRow="1" firstDataCol="1"/>
  <pivotFields count="4">
    <pivotField compact="0" outline="0" showAll="0"/>
    <pivotField compact="0" outline="0" showAll="0"/>
    <pivotField compact="0" outline="0" showAll="0">
      <items count="6">
        <item h="1" x="3"/>
        <item h="1" x="1"/>
        <item h="1" x="4"/>
        <item h="1" x="2"/>
        <item x="0"/>
        <item t="default"/>
      </items>
    </pivotField>
    <pivotField axis="axisRow" dataField="1" compact="0" outline="0" showAll="0">
      <items count="3">
        <item x="0"/>
        <item x="1"/>
        <item t="default"/>
      </items>
    </pivotField>
  </pivotFields>
  <rowFields count="1">
    <field x="3"/>
  </rowFields>
  <rowItems count="2">
    <i>
      <x/>
    </i>
    <i t="grand">
      <x/>
    </i>
  </rowItems>
  <colItems count="1">
    <i/>
  </colItems>
  <dataFields count="1">
    <dataField name="Nombre de Admis ou pas?" fld="3" subtotal="count" showDataAs="percentOfCol" baseField="3" baseItem="0" numFmtId="10"/>
  </dataFields>
  <formats count="3">
    <format dxfId="42">
      <pivotArea dataOnly="0" labelOnly="1" outline="0" axis="axisValues" fieldPosition="0"/>
    </format>
    <format dxfId="41">
      <pivotArea dataOnly="0" labelOnly="1" outline="0" axis="axisValues" fieldPosition="0"/>
    </format>
    <format dxfId="4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7416F3-B22D-4145-9E59-094504AB2A5C}" name="Tableau croisé dynamique20" cacheId="6" applyNumberFormats="0" applyBorderFormats="0" applyFontFormats="0" applyPatternFormats="0" applyAlignmentFormats="0" applyWidthHeightFormats="1" dataCaption="Valeurs" updatedVersion="8" minRefreshableVersion="3" itemPrintTitles="1" createdVersion="8" indent="0" compact="0" compactData="0" multipleFieldFilters="0">
  <location ref="P11:P12" firstHeaderRow="1" firstDataRow="1" firstDataCol="0"/>
  <pivotFields count="4">
    <pivotField compact="0" outline="0" showAll="0"/>
    <pivotField dataField="1" compact="0" outline="0" showAll="0"/>
    <pivotField compact="0" outline="0" showAll="0">
      <items count="6">
        <item h="1" x="3"/>
        <item h="1" x="1"/>
        <item h="1" x="4"/>
        <item h="1" x="2"/>
        <item x="0"/>
        <item t="default"/>
      </items>
    </pivotField>
    <pivotField compact="0" outline="0" showAll="0"/>
  </pivotFields>
  <rowItems count="1">
    <i/>
  </rowItems>
  <colItems count="1">
    <i/>
  </colItems>
  <dataFields count="1">
    <dataField name="Min. de Note" fld="1" subtotal="min" baseField="0" baseItem="0"/>
  </dataFields>
  <formats count="2">
    <format dxfId="44">
      <pivotArea dataOnly="0" labelOnly="1" outline="0" axis="axisValues" fieldPosition="0"/>
    </format>
    <format dxfId="4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1303A4-098B-4F1D-9633-75F6CA26C4C2}" name="Tableau croisé dynamique17" cacheId="6" applyNumberFormats="0" applyBorderFormats="0" applyFontFormats="0" applyPatternFormats="0" applyAlignmentFormats="0" applyWidthHeightFormats="1" dataCaption="Valeurs" updatedVersion="8" minRefreshableVersion="3" itemPrintTitles="1" createdVersion="8" indent="0" compact="0" compactData="0" multipleFieldFilters="0" chartFormat="1">
  <location ref="L3:M5" firstHeaderRow="1" firstDataRow="1" firstDataCol="1"/>
  <pivotFields count="4">
    <pivotField compact="0" outline="0" showAll="0"/>
    <pivotField compact="0" outline="0" showAll="0"/>
    <pivotField axis="axisRow" dataField="1" compact="0" outline="0" showAll="0">
      <items count="6">
        <item h="1" x="3"/>
        <item h="1" x="1"/>
        <item h="1" x="4"/>
        <item h="1" x="2"/>
        <item x="0"/>
        <item t="default"/>
      </items>
    </pivotField>
    <pivotField compact="0" outline="0" showAll="0"/>
  </pivotFields>
  <rowFields count="1">
    <field x="2"/>
  </rowFields>
  <rowItems count="2">
    <i>
      <x v="4"/>
    </i>
    <i t="grand">
      <x/>
    </i>
  </rowItems>
  <colItems count="1">
    <i/>
  </colItems>
  <dataFields count="1">
    <dataField name="Nombre de Décision" fld="2" subtotal="count" baseField="0" baseItem="0"/>
  </dataFields>
  <formats count="2">
    <format dxfId="46">
      <pivotArea dataOnly="0" labelOnly="1" outline="0" axis="axisValues" fieldPosition="0"/>
    </format>
    <format dxfId="45">
      <pivotArea dataOnly="0" labelOnly="1" outline="0" axis="axisValues" fieldPosition="0"/>
    </format>
  </formats>
  <chartFormats count="11"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20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écision1" xr10:uid="{30AE41ED-8E9F-42B0-AF8B-D13CF53F7A46}" sourceName="Décision">
  <pivotTables>
    <pivotTable tabId="4" name="Tableau croisé dynamique17"/>
    <pivotTable tabId="4" name="Tableau croisé dynamique18"/>
    <pivotTable tabId="4" name="Tableau croisé dynamique20"/>
    <pivotTable tabId="4" name="Tableau croisé dynamique21"/>
    <pivotTable tabId="4" name="Tableau croisé dynamique22"/>
    <pivotTable tabId="4" name="Tableau croisé dynamique24"/>
  </pivotTables>
  <data>
    <tabular pivotCacheId="1425803470">
      <items count="5">
        <i x="3"/>
        <i x="1"/>
        <i x="4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écision 1" xr10:uid="{66BE99C6-BB21-4F57-991F-CE1837420F5B}" cache="Segment_Décision1" caption="Décision" columnCount="5" style="SlicerStyleDark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92B6B-0895-4174-BA1E-0F11C051311F}" name="Tableau1" displayName="Tableau1" ref="G2:I7" totalsRowShown="0" dataDxfId="50">
  <autoFilter ref="G2:I7" xr:uid="{4799D1F0-890D-4794-872A-F206E66CFA77}"/>
  <tableColumns count="3">
    <tableColumn id="1" xr3:uid="{74A38EDD-7694-46A0-BFDC-0C36486AEAC0}" name="Note" dataDxfId="49"/>
    <tableColumn id="2" xr3:uid="{B7ABB951-EF31-4B7A-A849-D5B2ADB44606}" name="Note2" dataDxfId="48"/>
    <tableColumn id="3" xr3:uid="{822A0E18-8C42-4C8C-B88F-DB5A549B449C}" name="Mention" dataDxfId="4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1.xml"/><Relationship Id="rId5" Type="http://schemas.openxmlformats.org/officeDocument/2006/relationships/pivotTable" Target="../pivotTables/pivotTable5.xml"/><Relationship Id="rId10" Type="http://schemas.openxmlformats.org/officeDocument/2006/relationships/vmlDrawing" Target="../drawings/vmlDrawing1.v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5D0D9-492C-47AD-B38E-4F6C97733576}">
  <sheetPr>
    <outlinePr summaryBelow="0" summaryRight="0"/>
  </sheetPr>
  <dimension ref="B2:I18"/>
  <sheetViews>
    <sheetView showGridLines="0" topLeftCell="A2" zoomScale="160" zoomScaleNormal="160" workbookViewId="0">
      <selection activeCell="C5" sqref="C5"/>
    </sheetView>
  </sheetViews>
  <sheetFormatPr baseColWidth="10" defaultColWidth="12.6640625" defaultRowHeight="15.75" customHeight="1" x14ac:dyDescent="0.3"/>
  <cols>
    <col min="2" max="2" width="25.6640625" customWidth="1"/>
    <col min="3" max="3" width="12.6640625" style="7"/>
    <col min="4" max="4" width="18.44140625" customWidth="1"/>
    <col min="5" max="5" width="13.5546875" customWidth="1"/>
    <col min="8" max="8" width="12.6640625" customWidth="1"/>
    <col min="10" max="10" width="15.77734375" customWidth="1"/>
  </cols>
  <sheetData>
    <row r="2" spans="2:9" ht="13.8" x14ac:dyDescent="0.3">
      <c r="B2" s="1" t="s">
        <v>0</v>
      </c>
      <c r="C2" s="2" t="s">
        <v>1</v>
      </c>
      <c r="D2" s="1" t="s">
        <v>2</v>
      </c>
      <c r="E2" s="3" t="s">
        <v>3</v>
      </c>
      <c r="G2" s="4" t="s">
        <v>1</v>
      </c>
      <c r="H2" t="s">
        <v>4</v>
      </c>
      <c r="I2" t="s">
        <v>5</v>
      </c>
    </row>
    <row r="3" spans="2:9" ht="15.75" customHeight="1" x14ac:dyDescent="0.3">
      <c r="B3" s="5" t="s">
        <v>6</v>
      </c>
      <c r="C3" s="6">
        <v>19</v>
      </c>
      <c r="D3" s="5" t="str">
        <f t="shared" ref="D3:D18" si="0">VLOOKUP(C3,$H$3:$I$7,2,TRUE)</f>
        <v>Très Bien</v>
      </c>
      <c r="E3" s="5" t="str">
        <f>IF(D3="Ajourné","Pas admis","Admis")</f>
        <v>Admis</v>
      </c>
      <c r="G3" s="4" t="s">
        <v>7</v>
      </c>
      <c r="H3">
        <v>0</v>
      </c>
      <c r="I3" s="4" t="s">
        <v>8</v>
      </c>
    </row>
    <row r="4" spans="2:9" ht="15.75" customHeight="1" x14ac:dyDescent="0.3">
      <c r="B4" s="5" t="s">
        <v>9</v>
      </c>
      <c r="C4" s="6">
        <v>20</v>
      </c>
      <c r="D4" s="5" t="str">
        <f t="shared" si="0"/>
        <v>Très Bien</v>
      </c>
      <c r="E4" s="5" t="str">
        <f t="shared" ref="E4:E18" si="1">IF(D4="Ajourné","Pas admis","Admis")</f>
        <v>Admis</v>
      </c>
      <c r="G4" s="4" t="s">
        <v>10</v>
      </c>
      <c r="H4" s="4">
        <v>10</v>
      </c>
      <c r="I4" s="4" t="s">
        <v>11</v>
      </c>
    </row>
    <row r="5" spans="2:9" ht="15.75" customHeight="1" x14ac:dyDescent="0.3">
      <c r="B5" s="5" t="s">
        <v>12</v>
      </c>
      <c r="C5" s="6">
        <v>18</v>
      </c>
      <c r="D5" s="5" t="str">
        <f t="shared" si="0"/>
        <v>Très Bien</v>
      </c>
      <c r="E5" s="5" t="str">
        <f t="shared" si="1"/>
        <v>Admis</v>
      </c>
      <c r="G5" s="4" t="s">
        <v>13</v>
      </c>
      <c r="H5" s="4">
        <v>12</v>
      </c>
      <c r="I5" s="4" t="s">
        <v>14</v>
      </c>
    </row>
    <row r="6" spans="2:9" ht="15.75" customHeight="1" x14ac:dyDescent="0.3">
      <c r="B6" s="5" t="s">
        <v>15</v>
      </c>
      <c r="C6" s="6">
        <v>12.5</v>
      </c>
      <c r="D6" s="5" t="str">
        <f t="shared" si="0"/>
        <v>Assez Bien</v>
      </c>
      <c r="E6" s="5" t="str">
        <f t="shared" si="1"/>
        <v>Admis</v>
      </c>
      <c r="G6" s="4" t="s">
        <v>16</v>
      </c>
      <c r="H6" s="4">
        <v>14</v>
      </c>
      <c r="I6" s="4" t="s">
        <v>17</v>
      </c>
    </row>
    <row r="7" spans="2:9" ht="15.75" customHeight="1" x14ac:dyDescent="0.3">
      <c r="B7" s="5" t="s">
        <v>18</v>
      </c>
      <c r="C7" s="6">
        <v>10</v>
      </c>
      <c r="D7" s="5" t="str">
        <f t="shared" si="0"/>
        <v>Passable</v>
      </c>
      <c r="E7" s="5" t="str">
        <f t="shared" si="1"/>
        <v>Admis</v>
      </c>
      <c r="G7" s="4" t="s">
        <v>19</v>
      </c>
      <c r="H7" s="4">
        <v>16</v>
      </c>
      <c r="I7" s="4" t="s">
        <v>20</v>
      </c>
    </row>
    <row r="8" spans="2:9" ht="15.75" customHeight="1" x14ac:dyDescent="0.3">
      <c r="B8" s="5" t="s">
        <v>21</v>
      </c>
      <c r="C8" s="6">
        <v>16</v>
      </c>
      <c r="D8" s="5" t="str">
        <f t="shared" si="0"/>
        <v>Très Bien</v>
      </c>
      <c r="E8" s="5" t="str">
        <f t="shared" si="1"/>
        <v>Admis</v>
      </c>
      <c r="H8" s="4"/>
    </row>
    <row r="9" spans="2:9" ht="15.75" customHeight="1" x14ac:dyDescent="0.3">
      <c r="B9" s="5" t="s">
        <v>22</v>
      </c>
      <c r="C9" s="6">
        <v>17</v>
      </c>
      <c r="D9" s="5" t="str">
        <f t="shared" si="0"/>
        <v>Très Bien</v>
      </c>
      <c r="E9" s="5" t="str">
        <f t="shared" si="1"/>
        <v>Admis</v>
      </c>
    </row>
    <row r="10" spans="2:9" ht="15.75" customHeight="1" x14ac:dyDescent="0.3">
      <c r="B10" s="5" t="s">
        <v>23</v>
      </c>
      <c r="C10" s="6">
        <v>8.5</v>
      </c>
      <c r="D10" s="5" t="str">
        <f t="shared" si="0"/>
        <v>Ajourné</v>
      </c>
      <c r="E10" s="5" t="str">
        <f t="shared" si="1"/>
        <v>Pas admis</v>
      </c>
    </row>
    <row r="11" spans="2:9" ht="13.8" x14ac:dyDescent="0.3">
      <c r="B11" s="5" t="s">
        <v>24</v>
      </c>
      <c r="C11" s="6">
        <v>18</v>
      </c>
      <c r="D11" s="5" t="str">
        <f t="shared" si="0"/>
        <v>Très Bien</v>
      </c>
      <c r="E11" s="5" t="str">
        <f t="shared" si="1"/>
        <v>Admis</v>
      </c>
    </row>
    <row r="12" spans="2:9" ht="15.75" customHeight="1" x14ac:dyDescent="0.3">
      <c r="B12" s="5" t="s">
        <v>25</v>
      </c>
      <c r="C12" s="6">
        <v>14</v>
      </c>
      <c r="D12" s="5" t="str">
        <f t="shared" si="0"/>
        <v>Bien</v>
      </c>
      <c r="E12" s="5" t="str">
        <f t="shared" si="1"/>
        <v>Admis</v>
      </c>
    </row>
    <row r="13" spans="2:9" ht="15.75" customHeight="1" x14ac:dyDescent="0.3">
      <c r="B13" s="5" t="s">
        <v>26</v>
      </c>
      <c r="C13" s="6">
        <v>17</v>
      </c>
      <c r="D13" s="5" t="str">
        <f t="shared" si="0"/>
        <v>Très Bien</v>
      </c>
      <c r="E13" s="5" t="str">
        <f t="shared" si="1"/>
        <v>Admis</v>
      </c>
    </row>
    <row r="14" spans="2:9" ht="13.8" x14ac:dyDescent="0.3">
      <c r="B14" s="5" t="s">
        <v>27</v>
      </c>
      <c r="C14" s="6">
        <v>13</v>
      </c>
      <c r="D14" s="5" t="str">
        <f t="shared" si="0"/>
        <v>Assez Bien</v>
      </c>
      <c r="E14" s="5" t="str">
        <f t="shared" si="1"/>
        <v>Admis</v>
      </c>
    </row>
    <row r="15" spans="2:9" ht="15.75" customHeight="1" x14ac:dyDescent="0.3">
      <c r="B15" s="5" t="s">
        <v>28</v>
      </c>
      <c r="C15" s="6">
        <v>10</v>
      </c>
      <c r="D15" s="5" t="str">
        <f t="shared" si="0"/>
        <v>Passable</v>
      </c>
      <c r="E15" s="5" t="str">
        <f t="shared" si="1"/>
        <v>Admis</v>
      </c>
    </row>
    <row r="16" spans="2:9" ht="15.75" customHeight="1" x14ac:dyDescent="0.3">
      <c r="B16" s="5" t="s">
        <v>29</v>
      </c>
      <c r="C16" s="6">
        <v>9.5</v>
      </c>
      <c r="D16" s="5" t="str">
        <f t="shared" si="0"/>
        <v>Ajourné</v>
      </c>
      <c r="E16" s="5" t="str">
        <f t="shared" si="1"/>
        <v>Pas admis</v>
      </c>
    </row>
    <row r="17" spans="2:5" ht="13.8" x14ac:dyDescent="0.3">
      <c r="B17" s="5" t="s">
        <v>30</v>
      </c>
      <c r="C17" s="6">
        <v>11</v>
      </c>
      <c r="D17" s="5" t="str">
        <f t="shared" si="0"/>
        <v>Passable</v>
      </c>
      <c r="E17" s="5" t="str">
        <f t="shared" si="1"/>
        <v>Admis</v>
      </c>
    </row>
    <row r="18" spans="2:5" ht="15.75" customHeight="1" x14ac:dyDescent="0.3">
      <c r="B18" s="5" t="s">
        <v>31</v>
      </c>
      <c r="C18" s="6">
        <v>9</v>
      </c>
      <c r="D18" s="5" t="str">
        <f t="shared" si="0"/>
        <v>Ajourné</v>
      </c>
      <c r="E18" s="5" t="str">
        <f t="shared" si="1"/>
        <v>Pas admis</v>
      </c>
    </row>
  </sheetData>
  <conditionalFormatting sqref="B3:E18">
    <cfRule type="expression" dxfId="52" priority="1">
      <formula>MOD(ROW(),2)=0</formula>
    </cfRule>
    <cfRule type="expression" dxfId="51" priority="2">
      <formula>MOD(ROW(),2)=1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B8FB1-FAC4-436D-A23F-F25827CD180F}">
  <sheetPr codeName="Feuil1">
    <outlinePr summaryBelow="0" summaryRight="0"/>
  </sheetPr>
  <dimension ref="B1:S20"/>
  <sheetViews>
    <sheetView tabSelected="1" zoomScaleNormal="100" workbookViewId="0">
      <selection activeCell="T28" sqref="T28"/>
    </sheetView>
  </sheetViews>
  <sheetFormatPr baseColWidth="10" defaultColWidth="12.6640625" defaultRowHeight="15.75" customHeight="1" x14ac:dyDescent="0.3"/>
  <cols>
    <col min="1" max="1" width="2.21875" style="8" customWidth="1"/>
    <col min="2" max="10" width="12.6640625" style="8"/>
    <col min="11" max="11" width="4.44140625" style="8" customWidth="1"/>
    <col min="12" max="13" width="12.6640625" style="8"/>
    <col min="14" max="14" width="3" style="8" customWidth="1"/>
    <col min="15" max="15" width="17.44140625" style="8" customWidth="1"/>
    <col min="16" max="16" width="14.5546875" style="8" customWidth="1"/>
    <col min="17" max="17" width="3.77734375" style="8" customWidth="1"/>
    <col min="18" max="18" width="17.6640625" style="8" hidden="1" customWidth="1"/>
    <col min="19" max="19" width="0" style="8" hidden="1" customWidth="1"/>
    <col min="20" max="16384" width="12.6640625" style="8"/>
  </cols>
  <sheetData>
    <row r="1" spans="2:19" ht="56.4" customHeight="1" x14ac:dyDescent="0.3"/>
    <row r="2" spans="2:19" s="10" customFormat="1" ht="24" customHeight="1" x14ac:dyDescent="0.3">
      <c r="B2" s="9" t="str">
        <f>"Nombre d'élèves par Mention"</f>
        <v>Nombre d'élèves par Mention</v>
      </c>
      <c r="C2" s="10" t="e">
        <f>TEXT(GETPIVOTDATA("Admis ou pas?",'Tableau de Bord'!$L$14,"Admis ou pas?","Admis"),"#0,00%") &amp;" sont admis contre "&amp;TEXT(GETPIVOTDATA("Admis ou pas?",'Tableau de Bord'!$L$14,"Admis ou pas?","Pas admis"),"#0,00%")&amp;" de non admis."</f>
        <v>#REF!</v>
      </c>
      <c r="D2" s="10" t="e">
        <f>TEXT(GETPIVOTDATA("Décision",'Tableau de Bord'!$O$3,"Décision","Très Bien"),"#0,00%")&amp;" de mentions 'Très Bien' contre "&amp;TEXT(GETPIVOTDATA("Décision",'Tableau de Bord'!$O$3,"Décision","Passable"),"#0,00%")&amp;" de mentions 'Passable'."</f>
        <v>#REF!</v>
      </c>
    </row>
    <row r="3" spans="2:19" ht="27.6" x14ac:dyDescent="0.3">
      <c r="L3" s="15" t="s">
        <v>2</v>
      </c>
      <c r="M3" s="16" t="s">
        <v>38</v>
      </c>
      <c r="O3" s="15" t="s">
        <v>2</v>
      </c>
      <c r="P3" s="16" t="s">
        <v>38</v>
      </c>
    </row>
    <row r="4" spans="2:19" ht="27.6" x14ac:dyDescent="0.3">
      <c r="L4" t="s">
        <v>20</v>
      </c>
      <c r="M4" s="17">
        <v>7</v>
      </c>
      <c r="O4" t="s">
        <v>20</v>
      </c>
      <c r="P4" s="11">
        <v>1</v>
      </c>
      <c r="R4" s="15" t="s">
        <v>0</v>
      </c>
      <c r="S4" s="16" t="s">
        <v>41</v>
      </c>
    </row>
    <row r="5" spans="2:19" ht="15.75" customHeight="1" x14ac:dyDescent="0.3">
      <c r="L5" t="s">
        <v>32</v>
      </c>
      <c r="M5" s="17">
        <v>7</v>
      </c>
      <c r="O5" t="s">
        <v>32</v>
      </c>
      <c r="P5" s="11">
        <v>1</v>
      </c>
      <c r="R5" t="s">
        <v>26</v>
      </c>
      <c r="S5" s="17">
        <v>1</v>
      </c>
    </row>
    <row r="6" spans="2:19" ht="15.75" customHeight="1" x14ac:dyDescent="0.3">
      <c r="L6"/>
      <c r="M6"/>
      <c r="O6"/>
      <c r="P6"/>
      <c r="R6" t="s">
        <v>21</v>
      </c>
      <c r="S6" s="17">
        <v>1</v>
      </c>
    </row>
    <row r="7" spans="2:19" ht="15.75" customHeight="1" x14ac:dyDescent="0.3">
      <c r="L7"/>
      <c r="M7"/>
      <c r="O7"/>
      <c r="P7"/>
      <c r="R7" t="s">
        <v>12</v>
      </c>
      <c r="S7" s="17">
        <v>1</v>
      </c>
    </row>
    <row r="8" spans="2:19" ht="15.75" customHeight="1" x14ac:dyDescent="0.3">
      <c r="L8"/>
      <c r="M8"/>
      <c r="O8"/>
      <c r="P8"/>
      <c r="R8" t="s">
        <v>9</v>
      </c>
      <c r="S8" s="17">
        <v>1</v>
      </c>
    </row>
    <row r="9" spans="2:19" ht="15.75" customHeight="1" x14ac:dyDescent="0.3">
      <c r="L9"/>
      <c r="M9"/>
      <c r="O9"/>
      <c r="P9"/>
      <c r="R9" t="s">
        <v>6</v>
      </c>
      <c r="S9" s="17">
        <v>1</v>
      </c>
    </row>
    <row r="10" spans="2:19" ht="15.75" customHeight="1" x14ac:dyDescent="0.3">
      <c r="R10" t="s">
        <v>22</v>
      </c>
      <c r="S10" s="17">
        <v>1</v>
      </c>
    </row>
    <row r="11" spans="2:19" ht="13.8" x14ac:dyDescent="0.3">
      <c r="L11" s="12" t="s">
        <v>33</v>
      </c>
      <c r="M11" s="16" t="s">
        <v>34</v>
      </c>
      <c r="O11" s="13" t="s">
        <v>35</v>
      </c>
      <c r="P11" s="16" t="s">
        <v>36</v>
      </c>
      <c r="R11" t="s">
        <v>24</v>
      </c>
      <c r="S11" s="17">
        <v>1</v>
      </c>
    </row>
    <row r="12" spans="2:19" ht="15.75" customHeight="1" x14ac:dyDescent="0.3">
      <c r="L12" t="str">
        <f>_xlfn.XLOOKUP(GETPIVOTDATA("Note",$M$11),Données!$C$3:$C$18,Données!$B$3:$B$18)</f>
        <v>Mariama Soïndé</v>
      </c>
      <c r="M12" s="17">
        <v>20</v>
      </c>
      <c r="O12" t="s">
        <v>23</v>
      </c>
      <c r="P12" s="17">
        <v>16</v>
      </c>
      <c r="R12"/>
      <c r="S12"/>
    </row>
    <row r="13" spans="2:19" ht="15.75" customHeight="1" x14ac:dyDescent="0.3">
      <c r="R13"/>
      <c r="S13"/>
    </row>
    <row r="14" spans="2:19" ht="27.6" x14ac:dyDescent="0.3">
      <c r="L14" s="15" t="s">
        <v>3</v>
      </c>
      <c r="M14" s="16" t="s">
        <v>40</v>
      </c>
      <c r="O14" s="16" t="s">
        <v>39</v>
      </c>
      <c r="R14"/>
      <c r="S14"/>
    </row>
    <row r="15" spans="2:19" ht="15.75" customHeight="1" x14ac:dyDescent="0.3">
      <c r="L15" t="s">
        <v>37</v>
      </c>
      <c r="M15" s="11">
        <v>1</v>
      </c>
      <c r="O15" s="14">
        <v>17.857142857142858</v>
      </c>
      <c r="R15"/>
      <c r="S15"/>
    </row>
    <row r="16" spans="2:19" ht="15.75" customHeight="1" x14ac:dyDescent="0.3">
      <c r="L16" t="s">
        <v>32</v>
      </c>
      <c r="M16" s="11">
        <v>1</v>
      </c>
      <c r="R16"/>
      <c r="S16"/>
    </row>
    <row r="17" spans="12:19" ht="15.75" customHeight="1" x14ac:dyDescent="0.3">
      <c r="L17"/>
      <c r="M17"/>
      <c r="R17"/>
      <c r="S17"/>
    </row>
    <row r="18" spans="12:19" ht="15.75" customHeight="1" x14ac:dyDescent="0.3">
      <c r="R18"/>
      <c r="S18"/>
    </row>
    <row r="19" spans="12:19" ht="15.75" customHeight="1" x14ac:dyDescent="0.3">
      <c r="R19"/>
      <c r="S19"/>
    </row>
    <row r="20" spans="12:19" ht="15.75" customHeight="1" x14ac:dyDescent="0.3">
      <c r="R20"/>
      <c r="S20"/>
    </row>
  </sheetData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11" name="Button 2">
              <controlPr defaultSize="0" print="0" autoFill="0" autoPict="0" macro="[0]!RefreshAll">
                <anchor moveWithCells="1" sizeWithCells="1">
                  <from>
                    <xdr:col>17</xdr:col>
                    <xdr:colOff>0</xdr:colOff>
                    <xdr:row>0</xdr:row>
                    <xdr:rowOff>137160</xdr:rowOff>
                  </from>
                  <to>
                    <xdr:col>20</xdr:col>
                    <xdr:colOff>259080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Tableau de Bord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Mountaga Diallo</dc:creator>
  <cp:lastModifiedBy>Mountaga Diallo</cp:lastModifiedBy>
  <dcterms:created xsi:type="dcterms:W3CDTF">2024-10-13T20:42:08Z</dcterms:created>
  <dcterms:modified xsi:type="dcterms:W3CDTF">2024-10-15T21:37:31Z</dcterms:modified>
</cp:coreProperties>
</file>