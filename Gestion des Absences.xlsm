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0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5d9871a43e300a/Documents/"/>
    </mc:Choice>
  </mc:AlternateContent>
  <xr:revisionPtr revIDLastSave="0" documentId="8_{AEAF2426-F549-4E32-9AD7-131D796069C4}" xr6:coauthVersionLast="47" xr6:coauthVersionMax="47" xr10:uidLastSave="{00000000-0000-0000-0000-000000000000}"/>
  <bookViews>
    <workbookView xWindow="-120" yWindow="-120" windowWidth="20730" windowHeight="11160" xr2:uid="{26B06B7D-4391-436F-86A6-AF9CB4ABDCCC}"/>
  </bookViews>
  <sheets>
    <sheet name="Comment ça marche" sheetId="16" r:id="rId1"/>
    <sheet name="Janvier" sheetId="4" r:id="rId2"/>
    <sheet name="Février" sheetId="5" r:id="rId3"/>
    <sheet name="Mars" sheetId="6" r:id="rId4"/>
    <sheet name="Avril" sheetId="7" r:id="rId5"/>
    <sheet name="Mai" sheetId="8" r:id="rId6"/>
    <sheet name="Juin" sheetId="9" r:id="rId7"/>
    <sheet name="Juillet" sheetId="10" r:id="rId8"/>
    <sheet name="Août" sheetId="11" r:id="rId9"/>
    <sheet name="Septembre" sheetId="12" r:id="rId10"/>
    <sheet name="Octobre" sheetId="13" r:id="rId11"/>
    <sheet name="Novembre" sheetId="14" r:id="rId12"/>
    <sheet name="Decembre" sheetId="15" r:id="rId13"/>
    <sheet name="Etudiants" sheetId="3" r:id="rId14"/>
  </sheets>
  <definedNames>
    <definedName name="Calendar_Year">Janvier!$BQ$6</definedName>
    <definedName name="ColorStripes" localSheetId="8">Août!$D$6:$E$49,Août!$H$6:$I$49,Août!$L$6:$M$49,Août!$P$6:$Q$49,Août!$T$6:$U$49,Août!$X$6:$Y$49,Août!$AB$6:$AC$49,Août!$AF$6:$AG$49,Août!$AJ$6:$AK$49,Août!$AN$6:$AO$49,Août!$AR$6:$AS$49,Août!$AV$6:$AW$49,Août!$AZ$6:$BA$49,Août!$BD$6:$BE$49,Août!$BH$6:$BI$49,Août!$BL$6:$BM$49</definedName>
    <definedName name="ColorStripes" localSheetId="4">Avril!$D$6:$E$49,Avril!$H$6:$I$49,Avril!$L$6:$M$49,Avril!$P$6:$Q$49,Avril!$T$6:$U$49,Avril!$X$6:$Y$49,Avril!$AB$6:$AC$49,Avril!$AF$6:$AG$49,Avril!$AJ$6:$AK$49,Avril!$AN$6:$AO$49,Avril!$AR$6:$AS$49,Avril!$AV$6:$AW$49,Avril!$AZ$6:$BA$49,Avril!$BD$6:$BE$49,Avril!$BH$6:$BI$49,Avril!$BL$6:$BM$49</definedName>
    <definedName name="ColorStripes" localSheetId="12">Decembre!$D$6:$E$49,Decembre!$H$6:$I$49,Decembre!$L$6:$M$49,Decembre!$P$6:$Q$49,Decembre!$T$6:$U$49,Decembre!$X$6:$Y$49,Decembre!$AB$6:$AC$49,Decembre!$AF$6:$AG$49,Decembre!$AJ$6:$AK$49,Decembre!$AN$6:$AO$49,Decembre!$AR$6:$AS$49,Decembre!$AV$6:$AW$49,Decembre!$AZ$6:$BA$49,Decembre!$BD$6:$BE$49,Decembre!$BH$6:$BI$49,Decembre!$BL$6:$BM$49</definedName>
    <definedName name="ColorStripes" localSheetId="2">Février!$D$6:$E$49,Février!$H$6:$I$49,Février!$L$6:$M$49,Février!$P$6:$Q$49,Février!$T$6:$U$49,Février!$X$6:$Y$49,Février!$AB$6:$AC$49,Février!$AF$6:$AG$49,Février!$AJ$6:$AK$49,Février!$AN$6:$AO$49,Février!$AR$6:$AS$49,Février!$AV$6:$AW$49,Février!$AZ$6:$BA$49,Février!$BD$6:$BE$49,Février!$BH$6:$BI$49,Février!$BL$6:$BM$49</definedName>
    <definedName name="ColorStripes" localSheetId="1">Janvier!$D$6:$E$49,Janvier!$H$6:$I$49,Janvier!$L$6:$M$49,Janvier!$P$6:$Q$49,Janvier!$T$6:$U$49,Janvier!$X$6:$Y$49,Janvier!$AB$6:$AC$49,Janvier!$AF$6:$AG$49,Janvier!$AJ$6:$AK$49,Janvier!$AN$6:$AO$49,Janvier!$AR$6:$AS$49,Janvier!$AV$6:$AW$49,Janvier!$AZ$6:$BA$49,Janvier!$BD$6:$BE$49,Janvier!$BH$6:$BI$49,Janvier!$BL$6:$BM$49</definedName>
    <definedName name="ColorStripes" localSheetId="7">Juillet!$D$6:$E$49,Juillet!$H$6:$I$49,Juillet!$L$6:$M$49,Juillet!$P$6:$Q$49,Juillet!$T$6:$U$49,Juillet!$X$6:$Y$49,Juillet!$AB$6:$AC$49,Juillet!$AF$6:$AG$49,Juillet!$AJ$6:$AK$49,Juillet!$AN$6:$AO$49,Juillet!$AR$6:$AS$49,Juillet!$AV$6:$AW$49,Juillet!$AZ$6:$BA$49,Juillet!$BD$6:$BE$49,Juillet!$BH$6:$BI$49,Juillet!$BL$6:$BM$49</definedName>
    <definedName name="ColorStripes" localSheetId="6">Juin!$D$6:$E$49,Juin!$H$6:$I$49,Juin!$L$6:$M$49,Juin!$P$6:$Q$49,Juin!$T$6:$U$49,Juin!$X$6:$Y$49,Juin!$AB$6:$AC$49,Juin!$AF$6:$AG$49,Juin!$AJ$6:$AK$49,Juin!$AN$6:$AO$49,Juin!$AR$6:$AS$49,Juin!$AV$6:$AW$49,Juin!$AZ$6:$BA$49,Juin!$BD$6:$BE$49,Juin!$BH$6:$BI$49,Juin!$BL$6:$BM$49</definedName>
    <definedName name="ColorStripes" localSheetId="5">Mai!$D$6:$E$49,Mai!$H$6:$I$49,Mai!$L$6:$M$49,Mai!$P$6:$Q$49,Mai!$T$6:$U$49,Mai!$X$6:$Y$49,Mai!$AB$6:$AC$49,Mai!$AF$6:$AG$49,Mai!$AJ$6:$AK$49,Mai!$AN$6:$AO$49,Mai!$AR$6:$AS$49,Mai!$AV$6:$AW$49,Mai!$AZ$6:$BA$49,Mai!$BD$6:$BE$49,Mai!$BH$6:$BI$49,Mai!$BL$6:$BM$49</definedName>
    <definedName name="ColorStripes" localSheetId="3">Mars!$D$6:$E$49,Mars!$H$6:$I$49,Mars!$L$6:$M$49,Mars!$P$6:$Q$49,Mars!$T$6:$U$49,Mars!$X$6:$Y$49,Mars!$AB$6:$AC$49,Mars!$AF$6:$AG$49,Mars!$AJ$6:$AK$49,Mars!$AN$6:$AO$49,Mars!$AR$6:$AS$49,Mars!$AV$6:$AW$49,Mars!$AZ$6:$BA$49,Mars!$BD$6:$BE$49,Mars!$BH$6:$BI$49,Mars!$BL$6:$BM$49</definedName>
    <definedName name="ColorStripes" localSheetId="11">Novembre!$D$6:$E$49,Novembre!$H$6:$I$49,Novembre!$L$6:$M$49,Novembre!$P$6:$Q$49,Novembre!$T$6:$U$49,Novembre!$X$6:$Y$49,Novembre!$AB$6:$AC$49,Novembre!$AF$6:$AG$49,Novembre!$AJ$6:$AK$49,Novembre!$AN$6:$AO$49,Novembre!$AR$6:$AS$49,Novembre!$AV$6:$AW$49,Novembre!$AZ$6:$BA$49,Novembre!$BD$6:$BE$49,Novembre!$BH$6:$BI$49,Novembre!$BL$6:$BM$49</definedName>
    <definedName name="ColorStripes" localSheetId="10">Octobre!$D$6:$E$49,Octobre!$H$6:$I$49,Octobre!$L$6:$M$49,Octobre!$P$6:$Q$49,Octobre!$T$6:$U$49,Octobre!$X$6:$Y$49,Octobre!$AB$6:$AC$49,Octobre!$AF$6:$AG$49,Octobre!$AJ$6:$AK$49,Octobre!$AN$6:$AO$49,Octobre!$AR$6:$AS$49,Octobre!$AV$6:$AW$49,Octobre!$AZ$6:$BA$49,Octobre!$BD$6:$BE$49,Octobre!$BH$6:$BI$49,Octobre!$BL$6:$BM$49</definedName>
    <definedName name="ColorStripes" localSheetId="9">Septembre!$D$6:$E$49,Septembre!$H$6:$I$49,Septembre!$L$6:$M$49,Septembre!$P$6:$Q$49,Septembre!$T$6:$U$49,Septembre!$X$6:$Y$49,Septembre!$AB$6:$AC$49,Septembre!$AF$6:$AG$49,Septembre!$AJ$6:$AK$49,Septembre!$AN$6:$AO$49,Septembre!$AR$6:$AS$49,Septembre!$AV$6:$AW$49,Septembre!$AZ$6:$BA$49,Septembre!$BD$6:$BE$49,Septembre!$BH$6:$BI$49,Septembre!$BL$6:$BM$49</definedName>
    <definedName name="HomeJan" localSheetId="8">Août!$D$10</definedName>
    <definedName name="HomeJan" localSheetId="4">Avril!$D$10</definedName>
    <definedName name="HomeJan" localSheetId="12">Decembre!$D$10</definedName>
    <definedName name="HomeJan" localSheetId="2">Février!$D$10</definedName>
    <definedName name="HomeJan" localSheetId="1">Janvier!$D$10</definedName>
    <definedName name="HomeJan" localSheetId="7">Juillet!$D$10</definedName>
    <definedName name="HomeJan" localSheetId="6">Juin!$D$10</definedName>
    <definedName name="HomeJan" localSheetId="5">Mai!$D$10</definedName>
    <definedName name="HomeJan" localSheetId="3">Mars!$D$10</definedName>
    <definedName name="HomeJan" localSheetId="11">Novembre!$D$10</definedName>
    <definedName name="HomeJan" localSheetId="10">Octobre!$D$10</definedName>
    <definedName name="HomeJan" localSheetId="9">Septembre!$D$10</definedName>
    <definedName name="_xlnm.Print_Titles" localSheetId="8">Août!$9:$9</definedName>
    <definedName name="_xlnm.Print_Titles" localSheetId="4">Avril!$9:$9</definedName>
    <definedName name="_xlnm.Print_Titles" localSheetId="12">Decembre!$9:$9</definedName>
    <definedName name="_xlnm.Print_Titles" localSheetId="2">Février!$9:$9</definedName>
    <definedName name="_xlnm.Print_Titles" localSheetId="1">Janvier!$9:$9</definedName>
    <definedName name="_xlnm.Print_Titles" localSheetId="7">Juillet!$9:$9</definedName>
    <definedName name="_xlnm.Print_Titles" localSheetId="6">Juin!$9:$9</definedName>
    <definedName name="_xlnm.Print_Titles" localSheetId="5">Mai!$9:$9</definedName>
    <definedName name="_xlnm.Print_Titles" localSheetId="3">Mars!$9:$9</definedName>
    <definedName name="_xlnm.Print_Titles" localSheetId="11">Novembre!$9:$9</definedName>
    <definedName name="_xlnm.Print_Titles" localSheetId="10">Octobre!$9:$9</definedName>
    <definedName name="_xlnm.Print_Titles" localSheetId="9">Septembre!$9:$9</definedName>
    <definedName name="Input_Zone" localSheetId="8">Août!$D$10:$BM$57</definedName>
    <definedName name="Input_Zone" localSheetId="4">Avril!$D$10:$BM$57</definedName>
    <definedName name="Input_Zone" localSheetId="12">Decembre!$D$10:$BM$57</definedName>
    <definedName name="Input_Zone" localSheetId="2">Février!$D$10:$BM$57</definedName>
    <definedName name="Input_Zone" localSheetId="1">Janvier!$D$10:$BM$57</definedName>
    <definedName name="Input_Zone" localSheetId="7">Juillet!$D$10:$BM$57</definedName>
    <definedName name="Input_Zone" localSheetId="6">Juin!$D$10:$BM$57</definedName>
    <definedName name="Input_Zone" localSheetId="5">Mai!$D$10:$BM$57</definedName>
    <definedName name="Input_Zone" localSheetId="3">Mars!$D$10:$BM$57</definedName>
    <definedName name="Input_Zone" localSheetId="11">Novembre!$D$10:$BM$57</definedName>
    <definedName name="Input_Zone" localSheetId="10">Octobre!$D$10:$BM$57</definedName>
    <definedName name="Input_Zone" localSheetId="9">Septembre!$D$10:$BM$57</definedName>
    <definedName name="ScrollRight">Janvier!$BP$6</definedName>
    <definedName name="ScrollRightFeb" localSheetId="8">Août!$BP$6</definedName>
    <definedName name="ScrollRightFeb" localSheetId="4">Avril!$BP$6</definedName>
    <definedName name="ScrollRightFeb" localSheetId="12">Decembre!$BP$6</definedName>
    <definedName name="ScrollRightFeb" localSheetId="7">Juillet!$BP$6</definedName>
    <definedName name="ScrollRightFeb" localSheetId="6">Juin!$BP$6</definedName>
    <definedName name="ScrollRightFeb" localSheetId="5">Mai!$BP$6</definedName>
    <definedName name="ScrollRightFeb" localSheetId="3">Mars!$BP$6</definedName>
    <definedName name="ScrollRightFeb" localSheetId="11">Novembre!$BP$6</definedName>
    <definedName name="ScrollRightFeb" localSheetId="10">Octobre!$BP$6</definedName>
    <definedName name="ScrollRightFeb" localSheetId="9">Septembre!$BP$6</definedName>
    <definedName name="ScrollRightFeb">Février!$BP$6</definedName>
    <definedName name="Sort_Area" localSheetId="8">Août!$B$9:$BP$57</definedName>
    <definedName name="Sort_Area" localSheetId="4">Avril!$B$9:$BP$57</definedName>
    <definedName name="Sort_Area" localSheetId="12">Decembre!$B$9:$BP$57</definedName>
    <definedName name="Sort_Area" localSheetId="2">Février!$B$9:$BP$57</definedName>
    <definedName name="Sort_Area" localSheetId="7">Juillet!$B$9:$BP$57</definedName>
    <definedName name="Sort_Area" localSheetId="6">Juin!$B$9:$BP$57</definedName>
    <definedName name="Sort_Area" localSheetId="5">Mai!$B$9:$BP$57</definedName>
    <definedName name="Sort_Area" localSheetId="3">Mars!$B$9:$BP$57</definedName>
    <definedName name="Sort_Area" localSheetId="11">Novembre!$B$9:$BP$57</definedName>
    <definedName name="Sort_Area" localSheetId="10">Octobre!$B$9:$BP$57</definedName>
    <definedName name="Sort_Area" localSheetId="9">Septembre!$B$9:$BP$57</definedName>
    <definedName name="Sort_Area">Janvier!$B$9:$BP$57</definedName>
    <definedName name="_xlnm.Print_Area" localSheetId="8">Août!$B$6:$BP$57</definedName>
    <definedName name="_xlnm.Print_Area" localSheetId="4">Avril!$B$6:$BP$57</definedName>
    <definedName name="_xlnm.Print_Area" localSheetId="12">Decembre!$B$6:$BP$57</definedName>
    <definedName name="_xlnm.Print_Area" localSheetId="2">Février!$B$6:$BP$57</definedName>
    <definedName name="_xlnm.Print_Area" localSheetId="1">Janvier!$B$6:$BP$57</definedName>
    <definedName name="_xlnm.Print_Area" localSheetId="7">Juillet!$B$6:$BP$57</definedName>
    <definedName name="_xlnm.Print_Area" localSheetId="6">Juin!$B$6:$BP$57</definedName>
    <definedName name="_xlnm.Print_Area" localSheetId="5">Mai!$B$6:$BP$57</definedName>
    <definedName name="_xlnm.Print_Area" localSheetId="3">Mars!$B$6:$BP$57</definedName>
    <definedName name="_xlnm.Print_Area" localSheetId="11">Novembre!$B$6:$BP$57</definedName>
    <definedName name="_xlnm.Print_Area" localSheetId="10">Octobre!$B$6:$BP$57</definedName>
    <definedName name="_xlnm.Print_Area" localSheetId="9">Septembre!$B$6:$BP$57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N6" i="15" l="1"/>
  <c r="BN6" i="14"/>
  <c r="BN6" i="13"/>
  <c r="BN6" i="12"/>
  <c r="BN6" i="11"/>
  <c r="BN6" i="10"/>
  <c r="BN6" i="9"/>
  <c r="BN6" i="8"/>
  <c r="BN6" i="7"/>
  <c r="BN6" i="6"/>
  <c r="BN6" i="5"/>
  <c r="F6" i="4"/>
  <c r="H6" i="4"/>
  <c r="J6" i="4"/>
  <c r="L6" i="4"/>
  <c r="N6" i="4"/>
  <c r="P6" i="4"/>
  <c r="R6" i="4"/>
  <c r="T6" i="4"/>
  <c r="V6" i="4"/>
  <c r="X6" i="4"/>
  <c r="Z6" i="4"/>
  <c r="AB6" i="4"/>
  <c r="AD6" i="4"/>
  <c r="AF6" i="4"/>
  <c r="AH6" i="4"/>
  <c r="AJ6" i="4"/>
  <c r="AL6" i="4"/>
  <c r="AN6" i="4"/>
  <c r="AP6" i="4"/>
  <c r="AR6" i="4"/>
  <c r="AT6" i="4"/>
  <c r="AV6" i="4"/>
  <c r="AX6" i="4"/>
  <c r="AZ6" i="4"/>
  <c r="BB6" i="4"/>
  <c r="BD6" i="4"/>
  <c r="BF6" i="4"/>
  <c r="BH6" i="4"/>
  <c r="BJ6" i="4"/>
  <c r="BL6" i="4"/>
  <c r="BQ6" i="15"/>
  <c r="J6" i="15" s="1"/>
  <c r="BQ6" i="14"/>
  <c r="J6" i="14" s="1"/>
  <c r="BQ6" i="13"/>
  <c r="BQ6" i="12"/>
  <c r="L6" i="12" s="1"/>
  <c r="BQ6" i="11"/>
  <c r="BQ6" i="10"/>
  <c r="F6" i="10" s="1"/>
  <c r="BQ6" i="9"/>
  <c r="BQ6" i="8"/>
  <c r="L6" i="8" s="1"/>
  <c r="BQ6" i="7"/>
  <c r="BQ6" i="6"/>
  <c r="J6" i="6" s="1"/>
  <c r="BQ6" i="5"/>
  <c r="H6" i="15"/>
  <c r="P6" i="15"/>
  <c r="X6" i="15"/>
  <c r="AF6" i="15"/>
  <c r="AN6" i="15"/>
  <c r="AV6" i="15"/>
  <c r="BD6" i="15"/>
  <c r="BF6" i="15"/>
  <c r="BL6" i="15"/>
  <c r="D6" i="15"/>
  <c r="BM9" i="15"/>
  <c r="BL9" i="15"/>
  <c r="BK9" i="15"/>
  <c r="BJ9" i="15"/>
  <c r="BI9" i="15"/>
  <c r="BH9" i="15"/>
  <c r="BG9" i="15"/>
  <c r="BF9" i="15"/>
  <c r="BE9" i="15"/>
  <c r="BD9" i="15"/>
  <c r="BC9" i="15"/>
  <c r="BB9" i="15"/>
  <c r="BA9" i="15"/>
  <c r="AZ9" i="15"/>
  <c r="AY9" i="15"/>
  <c r="AX9" i="15"/>
  <c r="AW9" i="15"/>
  <c r="AV9" i="15"/>
  <c r="AU9" i="15"/>
  <c r="AT9" i="15"/>
  <c r="AS9" i="15"/>
  <c r="AR9" i="15"/>
  <c r="AQ9" i="15"/>
  <c r="AP9" i="15"/>
  <c r="AO9" i="15"/>
  <c r="AN9" i="15"/>
  <c r="AM9" i="15"/>
  <c r="AL9" i="15"/>
  <c r="AK9" i="15"/>
  <c r="AJ9" i="15"/>
  <c r="AI9" i="15"/>
  <c r="AH9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BO56" i="15" s="1"/>
  <c r="H6" i="14"/>
  <c r="P6" i="14"/>
  <c r="T6" i="14"/>
  <c r="X6" i="14"/>
  <c r="AB6" i="14"/>
  <c r="AF6" i="14"/>
  <c r="AJ6" i="14"/>
  <c r="AN6" i="14"/>
  <c r="AR6" i="14"/>
  <c r="AV6" i="14"/>
  <c r="AZ6" i="14"/>
  <c r="BD6" i="14"/>
  <c r="BH6" i="14"/>
  <c r="D6" i="14"/>
  <c r="BM9" i="14"/>
  <c r="BL9" i="14"/>
  <c r="BK9" i="14"/>
  <c r="BJ9" i="14"/>
  <c r="BI9" i="14"/>
  <c r="BH9" i="14"/>
  <c r="BG9" i="14"/>
  <c r="BF9" i="14"/>
  <c r="BE9" i="14"/>
  <c r="BD9" i="14"/>
  <c r="BC9" i="14"/>
  <c r="BB9" i="14"/>
  <c r="BA9" i="14"/>
  <c r="AZ9" i="14"/>
  <c r="AY9" i="14"/>
  <c r="AX9" i="14"/>
  <c r="AW9" i="14"/>
  <c r="AV9" i="14"/>
  <c r="AU9" i="14"/>
  <c r="AT9" i="14"/>
  <c r="AS9" i="14"/>
  <c r="AR9" i="14"/>
  <c r="AQ9" i="14"/>
  <c r="AP9" i="14"/>
  <c r="AO9" i="14"/>
  <c r="AN9" i="14"/>
  <c r="AM9" i="14"/>
  <c r="AL9" i="14"/>
  <c r="AK9" i="14"/>
  <c r="AJ9" i="14"/>
  <c r="AI9" i="14"/>
  <c r="AH9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BO56" i="14" s="1"/>
  <c r="F6" i="13"/>
  <c r="H6" i="13"/>
  <c r="J6" i="13"/>
  <c r="L6" i="13"/>
  <c r="N6" i="13"/>
  <c r="P6" i="13"/>
  <c r="R6" i="13"/>
  <c r="T6" i="13"/>
  <c r="V6" i="13"/>
  <c r="X6" i="13"/>
  <c r="Z6" i="13"/>
  <c r="AB6" i="13"/>
  <c r="AD6" i="13"/>
  <c r="AF6" i="13"/>
  <c r="AH6" i="13"/>
  <c r="AJ6" i="13"/>
  <c r="AL6" i="13"/>
  <c r="AN6" i="13"/>
  <c r="AP6" i="13"/>
  <c r="AR6" i="13"/>
  <c r="AT6" i="13"/>
  <c r="AV6" i="13"/>
  <c r="AX6" i="13"/>
  <c r="AZ6" i="13"/>
  <c r="BB6" i="13"/>
  <c r="BD6" i="13"/>
  <c r="BF6" i="13"/>
  <c r="BH6" i="13"/>
  <c r="BJ6" i="13"/>
  <c r="BL6" i="13"/>
  <c r="D6" i="13"/>
  <c r="BM9" i="13"/>
  <c r="BL9" i="13"/>
  <c r="BK9" i="13"/>
  <c r="BJ9" i="13"/>
  <c r="BI9" i="13"/>
  <c r="BH9" i="13"/>
  <c r="BG9" i="13"/>
  <c r="BF9" i="13"/>
  <c r="BE9" i="13"/>
  <c r="BD9" i="13"/>
  <c r="BC9" i="13"/>
  <c r="BB9" i="13"/>
  <c r="BA9" i="13"/>
  <c r="AZ9" i="13"/>
  <c r="AY9" i="13"/>
  <c r="AX9" i="13"/>
  <c r="AW9" i="13"/>
  <c r="AV9" i="13"/>
  <c r="AU9" i="13"/>
  <c r="AT9" i="13"/>
  <c r="AS9" i="13"/>
  <c r="AR9" i="13"/>
  <c r="AQ9" i="13"/>
  <c r="AP9" i="13"/>
  <c r="AO9" i="13"/>
  <c r="AN9" i="13"/>
  <c r="AM9" i="13"/>
  <c r="AL9" i="13"/>
  <c r="AK9" i="13"/>
  <c r="AJ9" i="13"/>
  <c r="AI9" i="13"/>
  <c r="AH9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BO56" i="13" s="1"/>
  <c r="F6" i="12"/>
  <c r="J6" i="12"/>
  <c r="N6" i="12"/>
  <c r="R6" i="12"/>
  <c r="V6" i="12"/>
  <c r="Z6" i="12"/>
  <c r="AD6" i="12"/>
  <c r="AH6" i="12"/>
  <c r="AL6" i="12"/>
  <c r="AP6" i="12"/>
  <c r="AT6" i="12"/>
  <c r="AX6" i="12"/>
  <c r="BB6" i="12"/>
  <c r="BF6" i="12"/>
  <c r="BJ6" i="12"/>
  <c r="BM9" i="12"/>
  <c r="BL9" i="12"/>
  <c r="BK9" i="12"/>
  <c r="BJ9" i="12"/>
  <c r="BI9" i="12"/>
  <c r="BH9" i="12"/>
  <c r="BG9" i="12"/>
  <c r="BF9" i="12"/>
  <c r="BE9" i="12"/>
  <c r="BD9" i="12"/>
  <c r="BC9" i="12"/>
  <c r="BB9" i="12"/>
  <c r="BA9" i="12"/>
  <c r="AZ9" i="12"/>
  <c r="AY9" i="12"/>
  <c r="AX9" i="12"/>
  <c r="AW9" i="12"/>
  <c r="AV9" i="12"/>
  <c r="AU9" i="12"/>
  <c r="AT9" i="12"/>
  <c r="AS9" i="12"/>
  <c r="AR9" i="12"/>
  <c r="AQ9" i="12"/>
  <c r="AP9" i="12"/>
  <c r="AO9" i="12"/>
  <c r="AN9" i="12"/>
  <c r="AM9" i="12"/>
  <c r="AL9" i="12"/>
  <c r="AK9" i="12"/>
  <c r="AJ9" i="12"/>
  <c r="AI9" i="12"/>
  <c r="AH9" i="12"/>
  <c r="AG9" i="12"/>
  <c r="AF9" i="12"/>
  <c r="AE9" i="12"/>
  <c r="AD9" i="12"/>
  <c r="AC9" i="12"/>
  <c r="AB9" i="12"/>
  <c r="AA9" i="12"/>
  <c r="Z9" i="12"/>
  <c r="Y9" i="12"/>
  <c r="X9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E9" i="12"/>
  <c r="D9" i="12"/>
  <c r="BO56" i="12" s="1"/>
  <c r="BL6" i="11"/>
  <c r="F6" i="11"/>
  <c r="H6" i="11"/>
  <c r="J6" i="11"/>
  <c r="L6" i="11"/>
  <c r="N6" i="11"/>
  <c r="P6" i="11"/>
  <c r="R6" i="11"/>
  <c r="T6" i="11"/>
  <c r="V6" i="11"/>
  <c r="X6" i="11"/>
  <c r="Z6" i="11"/>
  <c r="AB6" i="11"/>
  <c r="AD6" i="11"/>
  <c r="AF6" i="11"/>
  <c r="AH6" i="11"/>
  <c r="AJ6" i="11"/>
  <c r="AL6" i="11"/>
  <c r="AN6" i="11"/>
  <c r="AP6" i="11"/>
  <c r="AR6" i="11"/>
  <c r="AT6" i="11"/>
  <c r="AV6" i="11"/>
  <c r="AX6" i="11"/>
  <c r="AZ6" i="11"/>
  <c r="BB6" i="11"/>
  <c r="BD6" i="11"/>
  <c r="BF6" i="11"/>
  <c r="BH6" i="11"/>
  <c r="BJ6" i="11"/>
  <c r="D6" i="11"/>
  <c r="BM9" i="11"/>
  <c r="BL9" i="11"/>
  <c r="BK9" i="11"/>
  <c r="BJ9" i="11"/>
  <c r="BI9" i="11"/>
  <c r="BH9" i="11"/>
  <c r="BG9" i="11"/>
  <c r="BF9" i="11"/>
  <c r="BE9" i="11"/>
  <c r="BD9" i="11"/>
  <c r="BC9" i="11"/>
  <c r="BB9" i="11"/>
  <c r="BA9" i="11"/>
  <c r="AZ9" i="11"/>
  <c r="AY9" i="11"/>
  <c r="AX9" i="11"/>
  <c r="AW9" i="11"/>
  <c r="AV9" i="11"/>
  <c r="AU9" i="11"/>
  <c r="AT9" i="11"/>
  <c r="AS9" i="11"/>
  <c r="AR9" i="11"/>
  <c r="AQ9" i="11"/>
  <c r="AP9" i="11"/>
  <c r="AO9" i="11"/>
  <c r="AN9" i="11"/>
  <c r="AM9" i="11"/>
  <c r="AL9" i="11"/>
  <c r="AK9" i="11"/>
  <c r="AJ9" i="11"/>
  <c r="AI9" i="11"/>
  <c r="AH9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BO56" i="11" s="1"/>
  <c r="H6" i="10"/>
  <c r="L6" i="10"/>
  <c r="P6" i="10"/>
  <c r="T6" i="10"/>
  <c r="X6" i="10"/>
  <c r="AB6" i="10"/>
  <c r="AF6" i="10"/>
  <c r="AJ6" i="10"/>
  <c r="AN6" i="10"/>
  <c r="AR6" i="10"/>
  <c r="AV6" i="10"/>
  <c r="AZ6" i="10"/>
  <c r="BD6" i="10"/>
  <c r="BH6" i="10"/>
  <c r="BL6" i="10"/>
  <c r="BM9" i="10"/>
  <c r="BL9" i="10"/>
  <c r="BK9" i="10"/>
  <c r="BJ9" i="10"/>
  <c r="BI9" i="10"/>
  <c r="BH9" i="10"/>
  <c r="BG9" i="10"/>
  <c r="BF9" i="10"/>
  <c r="BE9" i="10"/>
  <c r="BD9" i="10"/>
  <c r="BC9" i="10"/>
  <c r="BB9" i="10"/>
  <c r="BA9" i="10"/>
  <c r="AZ9" i="10"/>
  <c r="AY9" i="10"/>
  <c r="AX9" i="10"/>
  <c r="AW9" i="10"/>
  <c r="AV9" i="10"/>
  <c r="AU9" i="10"/>
  <c r="AT9" i="10"/>
  <c r="AS9" i="10"/>
  <c r="AR9" i="10"/>
  <c r="AQ9" i="10"/>
  <c r="AP9" i="10"/>
  <c r="AO9" i="10"/>
  <c r="AN9" i="10"/>
  <c r="AM9" i="10"/>
  <c r="AL9" i="10"/>
  <c r="AK9" i="10"/>
  <c r="AJ9" i="10"/>
  <c r="AI9" i="10"/>
  <c r="AH9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BO56" i="10" s="1"/>
  <c r="F6" i="9"/>
  <c r="H6" i="9"/>
  <c r="J6" i="9"/>
  <c r="L6" i="9"/>
  <c r="N6" i="9"/>
  <c r="P6" i="9"/>
  <c r="R6" i="9"/>
  <c r="T6" i="9"/>
  <c r="V6" i="9"/>
  <c r="X6" i="9"/>
  <c r="Z6" i="9"/>
  <c r="AB6" i="9"/>
  <c r="AD6" i="9"/>
  <c r="AF6" i="9"/>
  <c r="AH6" i="9"/>
  <c r="AJ6" i="9"/>
  <c r="AL6" i="9"/>
  <c r="AN6" i="9"/>
  <c r="AP6" i="9"/>
  <c r="AR6" i="9"/>
  <c r="AT6" i="9"/>
  <c r="AV6" i="9"/>
  <c r="AX6" i="9"/>
  <c r="AZ6" i="9"/>
  <c r="BB6" i="9"/>
  <c r="BD6" i="9"/>
  <c r="BF6" i="9"/>
  <c r="BH6" i="9"/>
  <c r="BJ6" i="9"/>
  <c r="D6" i="9"/>
  <c r="BM9" i="9"/>
  <c r="BL9" i="9"/>
  <c r="BK9" i="9"/>
  <c r="BJ9" i="9"/>
  <c r="BI9" i="9"/>
  <c r="BH9" i="9"/>
  <c r="BG9" i="9"/>
  <c r="BF9" i="9"/>
  <c r="BE9" i="9"/>
  <c r="BD9" i="9"/>
  <c r="BC9" i="9"/>
  <c r="BB9" i="9"/>
  <c r="BA9" i="9"/>
  <c r="AZ9" i="9"/>
  <c r="AY9" i="9"/>
  <c r="AX9" i="9"/>
  <c r="AW9" i="9"/>
  <c r="AV9" i="9"/>
  <c r="AU9" i="9"/>
  <c r="AT9" i="9"/>
  <c r="AS9" i="9"/>
  <c r="AR9" i="9"/>
  <c r="AQ9" i="9"/>
  <c r="AP9" i="9"/>
  <c r="AO9" i="9"/>
  <c r="AN9" i="9"/>
  <c r="AM9" i="9"/>
  <c r="AL9" i="9"/>
  <c r="AK9" i="9"/>
  <c r="AJ9" i="9"/>
  <c r="AI9" i="9"/>
  <c r="AH9" i="9"/>
  <c r="AG9" i="9"/>
  <c r="AF9" i="9"/>
  <c r="AE9" i="9"/>
  <c r="AD9" i="9"/>
  <c r="AC9" i="9"/>
  <c r="AB9" i="9"/>
  <c r="AA9" i="9"/>
  <c r="Z9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BO56" i="9" s="1"/>
  <c r="F6" i="8"/>
  <c r="H6" i="8"/>
  <c r="J6" i="8"/>
  <c r="N6" i="8"/>
  <c r="P6" i="8"/>
  <c r="R6" i="8"/>
  <c r="V6" i="8"/>
  <c r="X6" i="8"/>
  <c r="Z6" i="8"/>
  <c r="AD6" i="8"/>
  <c r="AF6" i="8"/>
  <c r="AH6" i="8"/>
  <c r="AL6" i="8"/>
  <c r="AN6" i="8"/>
  <c r="AP6" i="8"/>
  <c r="AT6" i="8"/>
  <c r="AV6" i="8"/>
  <c r="AX6" i="8"/>
  <c r="BB6" i="8"/>
  <c r="BD6" i="8"/>
  <c r="BF6" i="8"/>
  <c r="BJ6" i="8"/>
  <c r="BL6" i="8"/>
  <c r="D6" i="8"/>
  <c r="BM9" i="8"/>
  <c r="BL9" i="8"/>
  <c r="BK9" i="8"/>
  <c r="BJ9" i="8"/>
  <c r="BI9" i="8"/>
  <c r="BH9" i="8"/>
  <c r="BG9" i="8"/>
  <c r="BF9" i="8"/>
  <c r="BE9" i="8"/>
  <c r="BD9" i="8"/>
  <c r="BC9" i="8"/>
  <c r="BB9" i="8"/>
  <c r="BA9" i="8"/>
  <c r="AZ9" i="8"/>
  <c r="AY9" i="8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BO56" i="8" s="1"/>
  <c r="H6" i="6"/>
  <c r="L6" i="6"/>
  <c r="N6" i="6"/>
  <c r="P6" i="6"/>
  <c r="R6" i="6"/>
  <c r="T6" i="6"/>
  <c r="V6" i="6"/>
  <c r="X6" i="6"/>
  <c r="Z6" i="6"/>
  <c r="AB6" i="6"/>
  <c r="AD6" i="6"/>
  <c r="AF6" i="6"/>
  <c r="AH6" i="6"/>
  <c r="AJ6" i="6"/>
  <c r="AL6" i="6"/>
  <c r="AN6" i="6"/>
  <c r="AP6" i="6"/>
  <c r="AR6" i="6"/>
  <c r="AT6" i="6"/>
  <c r="AV6" i="6"/>
  <c r="AX6" i="6"/>
  <c r="AZ6" i="6"/>
  <c r="BB6" i="6"/>
  <c r="BD6" i="6"/>
  <c r="BF6" i="6"/>
  <c r="BH6" i="6"/>
  <c r="BJ6" i="6"/>
  <c r="BL6" i="6"/>
  <c r="D6" i="6"/>
  <c r="F6" i="7"/>
  <c r="H6" i="7"/>
  <c r="J6" i="7"/>
  <c r="L6" i="7"/>
  <c r="N6" i="7"/>
  <c r="P6" i="7"/>
  <c r="R6" i="7"/>
  <c r="T6" i="7"/>
  <c r="V6" i="7"/>
  <c r="X6" i="7"/>
  <c r="Z6" i="7"/>
  <c r="AB6" i="7"/>
  <c r="AD6" i="7"/>
  <c r="AF6" i="7"/>
  <c r="AH6" i="7"/>
  <c r="AJ6" i="7"/>
  <c r="AL6" i="7"/>
  <c r="AN6" i="7"/>
  <c r="AP6" i="7"/>
  <c r="AR6" i="7"/>
  <c r="AT6" i="7"/>
  <c r="AV6" i="7"/>
  <c r="AX6" i="7"/>
  <c r="AZ6" i="7"/>
  <c r="BB6" i="7"/>
  <c r="BD6" i="7"/>
  <c r="BF6" i="7"/>
  <c r="BH6" i="7"/>
  <c r="BJ6" i="7"/>
  <c r="D6" i="7"/>
  <c r="BM9" i="7"/>
  <c r="BL9" i="7"/>
  <c r="BK9" i="7"/>
  <c r="BJ9" i="7"/>
  <c r="BI9" i="7"/>
  <c r="BH9" i="7"/>
  <c r="BG9" i="7"/>
  <c r="BF9" i="7"/>
  <c r="BE9" i="7"/>
  <c r="BD9" i="7"/>
  <c r="BC9" i="7"/>
  <c r="BB9" i="7"/>
  <c r="BA9" i="7"/>
  <c r="AZ9" i="7"/>
  <c r="AY9" i="7"/>
  <c r="AX9" i="7"/>
  <c r="AW9" i="7"/>
  <c r="AV9" i="7"/>
  <c r="AU9" i="7"/>
  <c r="AT9" i="7"/>
  <c r="AS9" i="7"/>
  <c r="AR9" i="7"/>
  <c r="AQ9" i="7"/>
  <c r="AP9" i="7"/>
  <c r="AO9" i="7"/>
  <c r="AN9" i="7"/>
  <c r="AM9" i="7"/>
  <c r="AL9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BO57" i="7" s="1"/>
  <c r="BM9" i="6"/>
  <c r="BL9" i="6"/>
  <c r="BK9" i="6"/>
  <c r="BJ9" i="6"/>
  <c r="BI9" i="6"/>
  <c r="BH9" i="6"/>
  <c r="BG9" i="6"/>
  <c r="BF9" i="6"/>
  <c r="BE9" i="6"/>
  <c r="BD9" i="6"/>
  <c r="BC9" i="6"/>
  <c r="BB9" i="6"/>
  <c r="BA9" i="6"/>
  <c r="AZ9" i="6"/>
  <c r="AY9" i="6"/>
  <c r="AX9" i="6"/>
  <c r="AW9" i="6"/>
  <c r="AV9" i="6"/>
  <c r="AU9" i="6"/>
  <c r="AT9" i="6"/>
  <c r="AS9" i="6"/>
  <c r="AR9" i="6"/>
  <c r="AQ9" i="6"/>
  <c r="AP9" i="6"/>
  <c r="AO9" i="6"/>
  <c r="AN9" i="6"/>
  <c r="AM9" i="6"/>
  <c r="AL9" i="6"/>
  <c r="AK9" i="6"/>
  <c r="AJ9" i="6"/>
  <c r="AI9" i="6"/>
  <c r="AH9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BO56" i="6" s="1"/>
  <c r="F6" i="5"/>
  <c r="H6" i="5"/>
  <c r="J6" i="5"/>
  <c r="L6" i="5"/>
  <c r="N6" i="5"/>
  <c r="P6" i="5"/>
  <c r="R6" i="5"/>
  <c r="T6" i="5"/>
  <c r="V6" i="5"/>
  <c r="X6" i="5"/>
  <c r="Z6" i="5"/>
  <c r="AB6" i="5"/>
  <c r="AD6" i="5"/>
  <c r="AF6" i="5"/>
  <c r="AH6" i="5"/>
  <c r="AJ6" i="5"/>
  <c r="AL6" i="5"/>
  <c r="AN6" i="5"/>
  <c r="AP6" i="5"/>
  <c r="AR6" i="5"/>
  <c r="AT6" i="5"/>
  <c r="AV6" i="5"/>
  <c r="AX6" i="5"/>
  <c r="AZ6" i="5"/>
  <c r="BB6" i="5"/>
  <c r="BD6" i="5"/>
  <c r="BF6" i="5"/>
  <c r="BH6" i="5"/>
  <c r="D6" i="5"/>
  <c r="BM9" i="5"/>
  <c r="BL9" i="5"/>
  <c r="BK9" i="5"/>
  <c r="BJ9" i="5"/>
  <c r="BI9" i="5"/>
  <c r="BH9" i="5"/>
  <c r="BG9" i="5"/>
  <c r="BF9" i="5"/>
  <c r="BE9" i="5"/>
  <c r="BD9" i="5"/>
  <c r="BC9" i="5"/>
  <c r="BB9" i="5"/>
  <c r="BA9" i="5"/>
  <c r="AZ9" i="5"/>
  <c r="AY9" i="5"/>
  <c r="AX9" i="5"/>
  <c r="AW9" i="5"/>
  <c r="AV9" i="5"/>
  <c r="AU9" i="5"/>
  <c r="AT9" i="5"/>
  <c r="AS9" i="5"/>
  <c r="AR9" i="5"/>
  <c r="AQ9" i="5"/>
  <c r="AP9" i="5"/>
  <c r="AO9" i="5"/>
  <c r="AN9" i="5"/>
  <c r="AM9" i="5"/>
  <c r="AL9" i="5"/>
  <c r="AK9" i="5"/>
  <c r="AJ9" i="5"/>
  <c r="AI9" i="5"/>
  <c r="AH9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BO56" i="5" l="1"/>
  <c r="BO15" i="5"/>
  <c r="BN14" i="5"/>
  <c r="BO55" i="6"/>
  <c r="BN35" i="7"/>
  <c r="BN54" i="8"/>
  <c r="BO55" i="9"/>
  <c r="BO55" i="10"/>
  <c r="BO51" i="11"/>
  <c r="BO55" i="12"/>
  <c r="BO54" i="13"/>
  <c r="BO55" i="14"/>
  <c r="BN54" i="15"/>
  <c r="BJ6" i="15"/>
  <c r="BB6" i="15"/>
  <c r="AT6" i="15"/>
  <c r="AL6" i="15"/>
  <c r="AD6" i="15"/>
  <c r="V6" i="15"/>
  <c r="N6" i="15"/>
  <c r="F6" i="15"/>
  <c r="BH6" i="15"/>
  <c r="AZ6" i="15"/>
  <c r="AR6" i="15"/>
  <c r="AJ6" i="15"/>
  <c r="AB6" i="15"/>
  <c r="T6" i="15"/>
  <c r="L6" i="15"/>
  <c r="AX6" i="15"/>
  <c r="AP6" i="15"/>
  <c r="AH6" i="15"/>
  <c r="Z6" i="15"/>
  <c r="R6" i="15"/>
  <c r="BJ6" i="14"/>
  <c r="BB6" i="14"/>
  <c r="AT6" i="14"/>
  <c r="AL6" i="14"/>
  <c r="AD6" i="14"/>
  <c r="V6" i="14"/>
  <c r="N6" i="14"/>
  <c r="F6" i="14"/>
  <c r="L6" i="14"/>
  <c r="BF6" i="14"/>
  <c r="AX6" i="14"/>
  <c r="AP6" i="14"/>
  <c r="AH6" i="14"/>
  <c r="Z6" i="14"/>
  <c r="R6" i="14"/>
  <c r="D6" i="12"/>
  <c r="BD6" i="12"/>
  <c r="AV6" i="12"/>
  <c r="AN6" i="12"/>
  <c r="AF6" i="12"/>
  <c r="X6" i="12"/>
  <c r="P6" i="12"/>
  <c r="H6" i="12"/>
  <c r="BH6" i="12"/>
  <c r="AZ6" i="12"/>
  <c r="AR6" i="12"/>
  <c r="AJ6" i="12"/>
  <c r="AB6" i="12"/>
  <c r="T6" i="12"/>
  <c r="D6" i="10"/>
  <c r="BF6" i="10"/>
  <c r="AX6" i="10"/>
  <c r="AP6" i="10"/>
  <c r="AH6" i="10"/>
  <c r="Z6" i="10"/>
  <c r="R6" i="10"/>
  <c r="J6" i="10"/>
  <c r="BJ6" i="10"/>
  <c r="BB6" i="10"/>
  <c r="AT6" i="10"/>
  <c r="AL6" i="10"/>
  <c r="AD6" i="10"/>
  <c r="V6" i="10"/>
  <c r="N6" i="10"/>
  <c r="BH6" i="8"/>
  <c r="AZ6" i="8"/>
  <c r="AR6" i="8"/>
  <c r="AJ6" i="8"/>
  <c r="AB6" i="8"/>
  <c r="T6" i="8"/>
  <c r="F6" i="6"/>
  <c r="BN10" i="15"/>
  <c r="BO16" i="15"/>
  <c r="BN23" i="15"/>
  <c r="BO28" i="15"/>
  <c r="BO32" i="15"/>
  <c r="BO36" i="15"/>
  <c r="BN42" i="15"/>
  <c r="BO47" i="15"/>
  <c r="BO51" i="15"/>
  <c r="BO55" i="15"/>
  <c r="BO10" i="15"/>
  <c r="BN14" i="15"/>
  <c r="BO15" i="15"/>
  <c r="BN18" i="15"/>
  <c r="BO19" i="15"/>
  <c r="BN22" i="15"/>
  <c r="BO23" i="15"/>
  <c r="BN26" i="15"/>
  <c r="BO27" i="15"/>
  <c r="BN30" i="15"/>
  <c r="BO31" i="15"/>
  <c r="BN34" i="15"/>
  <c r="BO35" i="15"/>
  <c r="BN38" i="15"/>
  <c r="BO39" i="15"/>
  <c r="BN11" i="15"/>
  <c r="BO42" i="15"/>
  <c r="BN45" i="15"/>
  <c r="BO46" i="15"/>
  <c r="BN49" i="15"/>
  <c r="BO50" i="15"/>
  <c r="BN53" i="15"/>
  <c r="BO54" i="15"/>
  <c r="BP54" i="15" s="1"/>
  <c r="BN57" i="15"/>
  <c r="BO12" i="15"/>
  <c r="BN19" i="15"/>
  <c r="BP19" i="15" s="1"/>
  <c r="BN27" i="15"/>
  <c r="BN35" i="15"/>
  <c r="BO40" i="15"/>
  <c r="BO43" i="15"/>
  <c r="BN50" i="15"/>
  <c r="BN13" i="15"/>
  <c r="BO14" i="15"/>
  <c r="BN17" i="15"/>
  <c r="BO18" i="15"/>
  <c r="BN21" i="15"/>
  <c r="BO22" i="15"/>
  <c r="BN25" i="15"/>
  <c r="BO26" i="15"/>
  <c r="BN29" i="15"/>
  <c r="BO30" i="15"/>
  <c r="BN33" i="15"/>
  <c r="BO34" i="15"/>
  <c r="BN37" i="15"/>
  <c r="BO38" i="15"/>
  <c r="BN41" i="15"/>
  <c r="BO11" i="15"/>
  <c r="BN44" i="15"/>
  <c r="BO45" i="15"/>
  <c r="BN48" i="15"/>
  <c r="BO49" i="15"/>
  <c r="BN52" i="15"/>
  <c r="BO53" i="15"/>
  <c r="BN56" i="15"/>
  <c r="BP56" i="15" s="1"/>
  <c r="BO57" i="15"/>
  <c r="BN15" i="15"/>
  <c r="BP15" i="15" s="1"/>
  <c r="BO20" i="15"/>
  <c r="BO24" i="15"/>
  <c r="BN31" i="15"/>
  <c r="BP31" i="15" s="1"/>
  <c r="BN39" i="15"/>
  <c r="BP39" i="15" s="1"/>
  <c r="BN46" i="15"/>
  <c r="BP46" i="15" s="1"/>
  <c r="BN12" i="15"/>
  <c r="BP12" i="15" s="1"/>
  <c r="BO13" i="15"/>
  <c r="BN16" i="15"/>
  <c r="BP16" i="15" s="1"/>
  <c r="BO17" i="15"/>
  <c r="BN20" i="15"/>
  <c r="BP20" i="15" s="1"/>
  <c r="BO21" i="15"/>
  <c r="BN24" i="15"/>
  <c r="BO25" i="15"/>
  <c r="BN28" i="15"/>
  <c r="BP28" i="15" s="1"/>
  <c r="BO29" i="15"/>
  <c r="BN32" i="15"/>
  <c r="BP32" i="15" s="1"/>
  <c r="BO33" i="15"/>
  <c r="BN36" i="15"/>
  <c r="BP36" i="15" s="1"/>
  <c r="BO37" i="15"/>
  <c r="BN40" i="15"/>
  <c r="BO41" i="15"/>
  <c r="BN43" i="15"/>
  <c r="BP43" i="15" s="1"/>
  <c r="BO44" i="15"/>
  <c r="BN47" i="15"/>
  <c r="BO48" i="15"/>
  <c r="BN51" i="15"/>
  <c r="BP51" i="15" s="1"/>
  <c r="BO52" i="15"/>
  <c r="BN55" i="15"/>
  <c r="BP55" i="15" s="1"/>
  <c r="BN14" i="14"/>
  <c r="BN22" i="14"/>
  <c r="BN30" i="14"/>
  <c r="BO35" i="14"/>
  <c r="BN42" i="14"/>
  <c r="BN54" i="14"/>
  <c r="BO10" i="14"/>
  <c r="BN13" i="14"/>
  <c r="BO14" i="14"/>
  <c r="BN17" i="14"/>
  <c r="BO18" i="14"/>
  <c r="BN21" i="14"/>
  <c r="BO22" i="14"/>
  <c r="BN25" i="14"/>
  <c r="BO26" i="14"/>
  <c r="BN29" i="14"/>
  <c r="BO30" i="14"/>
  <c r="BN33" i="14"/>
  <c r="BO34" i="14"/>
  <c r="BN37" i="14"/>
  <c r="BO38" i="14"/>
  <c r="BN41" i="14"/>
  <c r="BO42" i="14"/>
  <c r="BN45" i="14"/>
  <c r="BO46" i="14"/>
  <c r="BN49" i="14"/>
  <c r="BO50" i="14"/>
  <c r="BN53" i="14"/>
  <c r="BO54" i="14"/>
  <c r="BN57" i="14"/>
  <c r="BO11" i="14"/>
  <c r="BN18" i="14"/>
  <c r="BP18" i="14" s="1"/>
  <c r="BO23" i="14"/>
  <c r="BO27" i="14"/>
  <c r="BO31" i="14"/>
  <c r="BN38" i="14"/>
  <c r="BN46" i="14"/>
  <c r="BP46" i="14" s="1"/>
  <c r="BN50" i="14"/>
  <c r="BO51" i="14"/>
  <c r="BN12" i="14"/>
  <c r="BO13" i="14"/>
  <c r="BN16" i="14"/>
  <c r="BO17" i="14"/>
  <c r="BN20" i="14"/>
  <c r="BO21" i="14"/>
  <c r="BN24" i="14"/>
  <c r="BO25" i="14"/>
  <c r="BN28" i="14"/>
  <c r="BO29" i="14"/>
  <c r="BN32" i="14"/>
  <c r="BO33" i="14"/>
  <c r="BN36" i="14"/>
  <c r="BO37" i="14"/>
  <c r="BN40" i="14"/>
  <c r="BO41" i="14"/>
  <c r="BN44" i="14"/>
  <c r="BO45" i="14"/>
  <c r="BN48" i="14"/>
  <c r="BO49" i="14"/>
  <c r="BN52" i="14"/>
  <c r="BO53" i="14"/>
  <c r="BN56" i="14"/>
  <c r="BP56" i="14" s="1"/>
  <c r="BO57" i="14"/>
  <c r="BN10" i="14"/>
  <c r="BO15" i="14"/>
  <c r="BO19" i="14"/>
  <c r="BN26" i="14"/>
  <c r="BP26" i="14" s="1"/>
  <c r="BN34" i="14"/>
  <c r="BP34" i="14" s="1"/>
  <c r="BO39" i="14"/>
  <c r="BO43" i="14"/>
  <c r="BO47" i="14"/>
  <c r="BN11" i="14"/>
  <c r="BP11" i="14" s="1"/>
  <c r="BO12" i="14"/>
  <c r="BN15" i="14"/>
  <c r="BO16" i="14"/>
  <c r="BN19" i="14"/>
  <c r="BO20" i="14"/>
  <c r="BN23" i="14"/>
  <c r="BP23" i="14" s="1"/>
  <c r="BO24" i="14"/>
  <c r="BN27" i="14"/>
  <c r="BO28" i="14"/>
  <c r="BN31" i="14"/>
  <c r="BO32" i="14"/>
  <c r="BN35" i="14"/>
  <c r="BP35" i="14" s="1"/>
  <c r="BO36" i="14"/>
  <c r="BN39" i="14"/>
  <c r="BO40" i="14"/>
  <c r="BN43" i="14"/>
  <c r="BO44" i="14"/>
  <c r="BN47" i="14"/>
  <c r="BO48" i="14"/>
  <c r="BN51" i="14"/>
  <c r="BP51" i="14" s="1"/>
  <c r="BO52" i="14"/>
  <c r="BN55" i="14"/>
  <c r="BP55" i="14" s="1"/>
  <c r="BO11" i="13"/>
  <c r="BO15" i="13"/>
  <c r="BO19" i="13"/>
  <c r="BO23" i="13"/>
  <c r="BO27" i="13"/>
  <c r="BO31" i="13"/>
  <c r="BO35" i="13"/>
  <c r="BO39" i="13"/>
  <c r="BN42" i="13"/>
  <c r="BN46" i="13"/>
  <c r="BN50" i="13"/>
  <c r="BO51" i="13"/>
  <c r="BN54" i="13"/>
  <c r="BP54" i="13" s="1"/>
  <c r="BO10" i="13"/>
  <c r="BO14" i="13"/>
  <c r="BO18" i="13"/>
  <c r="BO22" i="13"/>
  <c r="BO26" i="13"/>
  <c r="BO30" i="13"/>
  <c r="BN33" i="13"/>
  <c r="BN37" i="13"/>
  <c r="BN41" i="13"/>
  <c r="BN45" i="13"/>
  <c r="BN49" i="13"/>
  <c r="BN53" i="13"/>
  <c r="BN57" i="13"/>
  <c r="BN12" i="13"/>
  <c r="BO13" i="13"/>
  <c r="BN16" i="13"/>
  <c r="BO17" i="13"/>
  <c r="BN20" i="13"/>
  <c r="BO21" i="13"/>
  <c r="BN24" i="13"/>
  <c r="BO25" i="13"/>
  <c r="BN28" i="13"/>
  <c r="BO29" i="13"/>
  <c r="BN32" i="13"/>
  <c r="BO33" i="13"/>
  <c r="BN36" i="13"/>
  <c r="BO37" i="13"/>
  <c r="BN40" i="13"/>
  <c r="BO41" i="13"/>
  <c r="BN44" i="13"/>
  <c r="BO45" i="13"/>
  <c r="BN48" i="13"/>
  <c r="BO49" i="13"/>
  <c r="BN52" i="13"/>
  <c r="BO53" i="13"/>
  <c r="BN56" i="13"/>
  <c r="BP56" i="13" s="1"/>
  <c r="BO57" i="13"/>
  <c r="BN10" i="13"/>
  <c r="BN14" i="13"/>
  <c r="BP14" i="13" s="1"/>
  <c r="BN18" i="13"/>
  <c r="BN22" i="13"/>
  <c r="BN26" i="13"/>
  <c r="BP26" i="13" s="1"/>
  <c r="BN30" i="13"/>
  <c r="BP30" i="13" s="1"/>
  <c r="BN34" i="13"/>
  <c r="BN38" i="13"/>
  <c r="BO43" i="13"/>
  <c r="BO47" i="13"/>
  <c r="BO55" i="13"/>
  <c r="BN13" i="13"/>
  <c r="BN17" i="13"/>
  <c r="BP17" i="13" s="1"/>
  <c r="BN21" i="13"/>
  <c r="BP21" i="13" s="1"/>
  <c r="BN25" i="13"/>
  <c r="BP25" i="13" s="1"/>
  <c r="BN29" i="13"/>
  <c r="BO34" i="13"/>
  <c r="BO38" i="13"/>
  <c r="BO42" i="13"/>
  <c r="BO46" i="13"/>
  <c r="BO50" i="13"/>
  <c r="BN11" i="13"/>
  <c r="BP11" i="13" s="1"/>
  <c r="BO12" i="13"/>
  <c r="BN15" i="13"/>
  <c r="BP15" i="13" s="1"/>
  <c r="BO16" i="13"/>
  <c r="BN19" i="13"/>
  <c r="BP19" i="13" s="1"/>
  <c r="BO20" i="13"/>
  <c r="BN23" i="13"/>
  <c r="BO24" i="13"/>
  <c r="BN27" i="13"/>
  <c r="BP27" i="13" s="1"/>
  <c r="BO28" i="13"/>
  <c r="BN31" i="13"/>
  <c r="BP31" i="13" s="1"/>
  <c r="BO32" i="13"/>
  <c r="BN35" i="13"/>
  <c r="BP35" i="13" s="1"/>
  <c r="BO36" i="13"/>
  <c r="BN39" i="13"/>
  <c r="BO40" i="13"/>
  <c r="BN43" i="13"/>
  <c r="BP43" i="13" s="1"/>
  <c r="BO44" i="13"/>
  <c r="BN47" i="13"/>
  <c r="BO48" i="13"/>
  <c r="BN51" i="13"/>
  <c r="BP51" i="13" s="1"/>
  <c r="BO52" i="13"/>
  <c r="BN55" i="13"/>
  <c r="BO15" i="12"/>
  <c r="BN22" i="12"/>
  <c r="BO27" i="12"/>
  <c r="BN34" i="12"/>
  <c r="BO39" i="12"/>
  <c r="BN46" i="12"/>
  <c r="BO51" i="12"/>
  <c r="BO10" i="12"/>
  <c r="BN13" i="12"/>
  <c r="BO14" i="12"/>
  <c r="BN17" i="12"/>
  <c r="BO18" i="12"/>
  <c r="BN21" i="12"/>
  <c r="BO22" i="12"/>
  <c r="BN25" i="12"/>
  <c r="BO26" i="12"/>
  <c r="BN29" i="12"/>
  <c r="BO30" i="12"/>
  <c r="BN33" i="12"/>
  <c r="BO34" i="12"/>
  <c r="BN37" i="12"/>
  <c r="BO38" i="12"/>
  <c r="BN41" i="12"/>
  <c r="BO42" i="12"/>
  <c r="BN45" i="12"/>
  <c r="BO46" i="12"/>
  <c r="BN49" i="12"/>
  <c r="BO50" i="12"/>
  <c r="BN53" i="12"/>
  <c r="BO54" i="12"/>
  <c r="BN57" i="12"/>
  <c r="BO11" i="12"/>
  <c r="BN18" i="12"/>
  <c r="BN26" i="12"/>
  <c r="BO31" i="12"/>
  <c r="BO35" i="12"/>
  <c r="BN42" i="12"/>
  <c r="BO47" i="12"/>
  <c r="BN54" i="12"/>
  <c r="BP54" i="12" s="1"/>
  <c r="BN12" i="12"/>
  <c r="BO13" i="12"/>
  <c r="BN16" i="12"/>
  <c r="BO17" i="12"/>
  <c r="BN20" i="12"/>
  <c r="BO21" i="12"/>
  <c r="BN24" i="12"/>
  <c r="BO25" i="12"/>
  <c r="BN28" i="12"/>
  <c r="BO29" i="12"/>
  <c r="BN32" i="12"/>
  <c r="BO33" i="12"/>
  <c r="BN36" i="12"/>
  <c r="BO37" i="12"/>
  <c r="BN40" i="12"/>
  <c r="BO41" i="12"/>
  <c r="BN44" i="12"/>
  <c r="BO45" i="12"/>
  <c r="BN48" i="12"/>
  <c r="BO49" i="12"/>
  <c r="BN52" i="12"/>
  <c r="BO53" i="12"/>
  <c r="BN56" i="12"/>
  <c r="BP56" i="12" s="1"/>
  <c r="BO57" i="12"/>
  <c r="BN10" i="12"/>
  <c r="BN14" i="12"/>
  <c r="BP14" i="12" s="1"/>
  <c r="BO19" i="12"/>
  <c r="BO23" i="12"/>
  <c r="BN30" i="12"/>
  <c r="BP30" i="12" s="1"/>
  <c r="BN38" i="12"/>
  <c r="BP38" i="12" s="1"/>
  <c r="BO43" i="12"/>
  <c r="BN50" i="12"/>
  <c r="BN11" i="12"/>
  <c r="BP11" i="12" s="1"/>
  <c r="BO12" i="12"/>
  <c r="BN15" i="12"/>
  <c r="BP15" i="12" s="1"/>
  <c r="BO16" i="12"/>
  <c r="BN19" i="12"/>
  <c r="BP19" i="12" s="1"/>
  <c r="BO20" i="12"/>
  <c r="BN23" i="12"/>
  <c r="BO24" i="12"/>
  <c r="BN27" i="12"/>
  <c r="BO28" i="12"/>
  <c r="BN31" i="12"/>
  <c r="BO32" i="12"/>
  <c r="BN35" i="12"/>
  <c r="BP35" i="12" s="1"/>
  <c r="BO36" i="12"/>
  <c r="BN39" i="12"/>
  <c r="BP39" i="12" s="1"/>
  <c r="BO40" i="12"/>
  <c r="BN43" i="12"/>
  <c r="BP43" i="12" s="1"/>
  <c r="BO44" i="12"/>
  <c r="BN47" i="12"/>
  <c r="BP47" i="12" s="1"/>
  <c r="BO48" i="12"/>
  <c r="BN51" i="12"/>
  <c r="BP51" i="12" s="1"/>
  <c r="BO52" i="12"/>
  <c r="BN55" i="12"/>
  <c r="BP55" i="12" s="1"/>
  <c r="BO11" i="11"/>
  <c r="BN18" i="11"/>
  <c r="BO23" i="11"/>
  <c r="BN34" i="11"/>
  <c r="BO39" i="11"/>
  <c r="BN46" i="11"/>
  <c r="BO55" i="11"/>
  <c r="BO10" i="11"/>
  <c r="BN13" i="11"/>
  <c r="BO14" i="11"/>
  <c r="BN17" i="11"/>
  <c r="BO18" i="11"/>
  <c r="BN21" i="11"/>
  <c r="BO22" i="11"/>
  <c r="BN25" i="11"/>
  <c r="BO26" i="11"/>
  <c r="BN29" i="11"/>
  <c r="BO30" i="11"/>
  <c r="BN33" i="11"/>
  <c r="BO34" i="11"/>
  <c r="BN37" i="11"/>
  <c r="BO38" i="11"/>
  <c r="BN41" i="11"/>
  <c r="BO42" i="11"/>
  <c r="BN45" i="11"/>
  <c r="BO46" i="11"/>
  <c r="BN49" i="11"/>
  <c r="BO50" i="11"/>
  <c r="BN53" i="11"/>
  <c r="BO54" i="11"/>
  <c r="BN57" i="11"/>
  <c r="BN14" i="11"/>
  <c r="BP14" i="11" s="1"/>
  <c r="BN22" i="11"/>
  <c r="BN26" i="11"/>
  <c r="BN30" i="11"/>
  <c r="BP30" i="11" s="1"/>
  <c r="BO35" i="11"/>
  <c r="BN42" i="11"/>
  <c r="BO47" i="11"/>
  <c r="BN54" i="11"/>
  <c r="BN12" i="11"/>
  <c r="BO13" i="11"/>
  <c r="BN16" i="11"/>
  <c r="BO17" i="11"/>
  <c r="BN20" i="11"/>
  <c r="BO21" i="11"/>
  <c r="BN24" i="11"/>
  <c r="BO25" i="11"/>
  <c r="BN28" i="11"/>
  <c r="BO29" i="11"/>
  <c r="BN32" i="11"/>
  <c r="BO33" i="11"/>
  <c r="BN36" i="11"/>
  <c r="BO37" i="11"/>
  <c r="BN40" i="11"/>
  <c r="BO41" i="11"/>
  <c r="BN44" i="11"/>
  <c r="BO45" i="11"/>
  <c r="BN48" i="11"/>
  <c r="BO49" i="11"/>
  <c r="BN52" i="11"/>
  <c r="BO53" i="11"/>
  <c r="BN56" i="11"/>
  <c r="BP56" i="11" s="1"/>
  <c r="BO57" i="11"/>
  <c r="BN10" i="11"/>
  <c r="BO15" i="11"/>
  <c r="BO19" i="11"/>
  <c r="BO27" i="11"/>
  <c r="BO31" i="11"/>
  <c r="BN38" i="11"/>
  <c r="BP38" i="11" s="1"/>
  <c r="BO43" i="11"/>
  <c r="BN50" i="11"/>
  <c r="BN11" i="11"/>
  <c r="BP11" i="11" s="1"/>
  <c r="BO12" i="11"/>
  <c r="BN15" i="11"/>
  <c r="BO16" i="11"/>
  <c r="BN19" i="11"/>
  <c r="BP19" i="11" s="1"/>
  <c r="BO20" i="11"/>
  <c r="BN23" i="11"/>
  <c r="BO24" i="11"/>
  <c r="BN27" i="11"/>
  <c r="BP27" i="11" s="1"/>
  <c r="BO28" i="11"/>
  <c r="BN31" i="11"/>
  <c r="BO32" i="11"/>
  <c r="BN35" i="11"/>
  <c r="BP35" i="11" s="1"/>
  <c r="BO36" i="11"/>
  <c r="BN39" i="11"/>
  <c r="BP39" i="11" s="1"/>
  <c r="BO40" i="11"/>
  <c r="BN43" i="11"/>
  <c r="BP43" i="11" s="1"/>
  <c r="BO44" i="11"/>
  <c r="BN47" i="11"/>
  <c r="BP47" i="11" s="1"/>
  <c r="BO48" i="11"/>
  <c r="BN51" i="11"/>
  <c r="BP51" i="11" s="1"/>
  <c r="BO52" i="11"/>
  <c r="BN55" i="11"/>
  <c r="BO11" i="10"/>
  <c r="BO15" i="10"/>
  <c r="BN22" i="10"/>
  <c r="BO27" i="10"/>
  <c r="BN34" i="10"/>
  <c r="BO39" i="10"/>
  <c r="BN46" i="10"/>
  <c r="BO51" i="10"/>
  <c r="BO10" i="10"/>
  <c r="BN13" i="10"/>
  <c r="BO14" i="10"/>
  <c r="BN17" i="10"/>
  <c r="BO18" i="10"/>
  <c r="BN21" i="10"/>
  <c r="BO22" i="10"/>
  <c r="BN25" i="10"/>
  <c r="BO26" i="10"/>
  <c r="BN29" i="10"/>
  <c r="BO30" i="10"/>
  <c r="BN33" i="10"/>
  <c r="BO34" i="10"/>
  <c r="BN37" i="10"/>
  <c r="BO38" i="10"/>
  <c r="BN41" i="10"/>
  <c r="BO42" i="10"/>
  <c r="BN45" i="10"/>
  <c r="BO46" i="10"/>
  <c r="BN49" i="10"/>
  <c r="BO50" i="10"/>
  <c r="BN53" i="10"/>
  <c r="BO54" i="10"/>
  <c r="BN57" i="10"/>
  <c r="BN14" i="10"/>
  <c r="BN18" i="10"/>
  <c r="BP18" i="10" s="1"/>
  <c r="BO23" i="10"/>
  <c r="BN30" i="10"/>
  <c r="BP30" i="10" s="1"/>
  <c r="BN38" i="10"/>
  <c r="BN42" i="10"/>
  <c r="BP42" i="10" s="1"/>
  <c r="BO47" i="10"/>
  <c r="BN54" i="10"/>
  <c r="BN12" i="10"/>
  <c r="BO13" i="10"/>
  <c r="BN16" i="10"/>
  <c r="BO17" i="10"/>
  <c r="BN20" i="10"/>
  <c r="BO21" i="10"/>
  <c r="BN24" i="10"/>
  <c r="BO25" i="10"/>
  <c r="BN28" i="10"/>
  <c r="BO29" i="10"/>
  <c r="BN32" i="10"/>
  <c r="BO33" i="10"/>
  <c r="BN36" i="10"/>
  <c r="BO37" i="10"/>
  <c r="BN40" i="10"/>
  <c r="BO41" i="10"/>
  <c r="BN44" i="10"/>
  <c r="BO45" i="10"/>
  <c r="BN48" i="10"/>
  <c r="BO49" i="10"/>
  <c r="BN52" i="10"/>
  <c r="BO53" i="10"/>
  <c r="BN56" i="10"/>
  <c r="BP56" i="10" s="1"/>
  <c r="BO57" i="10"/>
  <c r="BN10" i="10"/>
  <c r="BO19" i="10"/>
  <c r="BN26" i="10"/>
  <c r="BO31" i="10"/>
  <c r="BO35" i="10"/>
  <c r="BO43" i="10"/>
  <c r="BN50" i="10"/>
  <c r="BN11" i="10"/>
  <c r="BO12" i="10"/>
  <c r="BN15" i="10"/>
  <c r="BP15" i="10" s="1"/>
  <c r="BO16" i="10"/>
  <c r="BN19" i="10"/>
  <c r="BO20" i="10"/>
  <c r="BN23" i="10"/>
  <c r="BO24" i="10"/>
  <c r="BN27" i="10"/>
  <c r="BP27" i="10" s="1"/>
  <c r="BO28" i="10"/>
  <c r="BN31" i="10"/>
  <c r="BO32" i="10"/>
  <c r="BN35" i="10"/>
  <c r="BO36" i="10"/>
  <c r="BN39" i="10"/>
  <c r="BP39" i="10" s="1"/>
  <c r="BO40" i="10"/>
  <c r="BN43" i="10"/>
  <c r="BO44" i="10"/>
  <c r="BN47" i="10"/>
  <c r="BO48" i="10"/>
  <c r="BN51" i="10"/>
  <c r="BP51" i="10" s="1"/>
  <c r="BO52" i="10"/>
  <c r="BN55" i="10"/>
  <c r="BP55" i="10" s="1"/>
  <c r="BN14" i="9"/>
  <c r="BO19" i="9"/>
  <c r="BN26" i="9"/>
  <c r="BO31" i="9"/>
  <c r="BN38" i="9"/>
  <c r="BN42" i="9"/>
  <c r="BO47" i="9"/>
  <c r="BO51" i="9"/>
  <c r="BO10" i="9"/>
  <c r="BN13" i="9"/>
  <c r="BO14" i="9"/>
  <c r="BN17" i="9"/>
  <c r="BO18" i="9"/>
  <c r="BN21" i="9"/>
  <c r="BO22" i="9"/>
  <c r="BN25" i="9"/>
  <c r="BO26" i="9"/>
  <c r="BN29" i="9"/>
  <c r="BO30" i="9"/>
  <c r="BN33" i="9"/>
  <c r="BO34" i="9"/>
  <c r="BN37" i="9"/>
  <c r="BO38" i="9"/>
  <c r="BN41" i="9"/>
  <c r="BO42" i="9"/>
  <c r="BN45" i="9"/>
  <c r="BO46" i="9"/>
  <c r="BN49" i="9"/>
  <c r="BO50" i="9"/>
  <c r="BN53" i="9"/>
  <c r="BO54" i="9"/>
  <c r="BN57" i="9"/>
  <c r="BN10" i="9"/>
  <c r="BN18" i="9"/>
  <c r="BP18" i="9" s="1"/>
  <c r="BO23" i="9"/>
  <c r="BO27" i="9"/>
  <c r="BN34" i="9"/>
  <c r="BP34" i="9" s="1"/>
  <c r="BO43" i="9"/>
  <c r="BN50" i="9"/>
  <c r="BN54" i="9"/>
  <c r="BP54" i="9" s="1"/>
  <c r="BN12" i="9"/>
  <c r="BO13" i="9"/>
  <c r="BN16" i="9"/>
  <c r="BO17" i="9"/>
  <c r="BN20" i="9"/>
  <c r="BO21" i="9"/>
  <c r="BN24" i="9"/>
  <c r="BO25" i="9"/>
  <c r="BN28" i="9"/>
  <c r="BO29" i="9"/>
  <c r="BN32" i="9"/>
  <c r="BO33" i="9"/>
  <c r="BN36" i="9"/>
  <c r="BO37" i="9"/>
  <c r="BN40" i="9"/>
  <c r="BO41" i="9"/>
  <c r="BN44" i="9"/>
  <c r="BO45" i="9"/>
  <c r="BN48" i="9"/>
  <c r="BO49" i="9"/>
  <c r="BN52" i="9"/>
  <c r="BO53" i="9"/>
  <c r="BN56" i="9"/>
  <c r="BP56" i="9" s="1"/>
  <c r="BO57" i="9"/>
  <c r="BO11" i="9"/>
  <c r="BO15" i="9"/>
  <c r="BN22" i="9"/>
  <c r="BP22" i="9" s="1"/>
  <c r="BN30" i="9"/>
  <c r="BP30" i="9" s="1"/>
  <c r="BO35" i="9"/>
  <c r="BO39" i="9"/>
  <c r="BN46" i="9"/>
  <c r="BP46" i="9" s="1"/>
  <c r="BN11" i="9"/>
  <c r="BO12" i="9"/>
  <c r="BN15" i="9"/>
  <c r="BP15" i="9" s="1"/>
  <c r="BO16" i="9"/>
  <c r="BN19" i="9"/>
  <c r="BP19" i="9" s="1"/>
  <c r="BO20" i="9"/>
  <c r="BN23" i="9"/>
  <c r="BO24" i="9"/>
  <c r="BN27" i="9"/>
  <c r="BP27" i="9" s="1"/>
  <c r="BO28" i="9"/>
  <c r="BN31" i="9"/>
  <c r="BO32" i="9"/>
  <c r="BN35" i="9"/>
  <c r="BO36" i="9"/>
  <c r="BN39" i="9"/>
  <c r="BP39" i="9" s="1"/>
  <c r="BO40" i="9"/>
  <c r="BN43" i="9"/>
  <c r="BO44" i="9"/>
  <c r="BN47" i="9"/>
  <c r="BO48" i="9"/>
  <c r="BN51" i="9"/>
  <c r="BP51" i="9" s="1"/>
  <c r="BO52" i="9"/>
  <c r="BN55" i="9"/>
  <c r="BP55" i="9" s="1"/>
  <c r="BN10" i="8"/>
  <c r="BN17" i="8"/>
  <c r="BO22" i="8"/>
  <c r="BN29" i="8"/>
  <c r="BO34" i="8"/>
  <c r="BO38" i="8"/>
  <c r="BN50" i="8"/>
  <c r="BO55" i="8"/>
  <c r="BO10" i="8"/>
  <c r="BN12" i="8"/>
  <c r="BO13" i="8"/>
  <c r="BN16" i="8"/>
  <c r="BO17" i="8"/>
  <c r="BN20" i="8"/>
  <c r="BO21" i="8"/>
  <c r="BN24" i="8"/>
  <c r="BO25" i="8"/>
  <c r="BN28" i="8"/>
  <c r="BO29" i="8"/>
  <c r="BN32" i="8"/>
  <c r="BO33" i="8"/>
  <c r="BN36" i="8"/>
  <c r="BO37" i="8"/>
  <c r="BN40" i="8"/>
  <c r="BO42" i="8"/>
  <c r="BN45" i="8"/>
  <c r="BO46" i="8"/>
  <c r="BN49" i="8"/>
  <c r="BO50" i="8"/>
  <c r="BN53" i="8"/>
  <c r="BO54" i="8"/>
  <c r="BP54" i="8" s="1"/>
  <c r="BN57" i="8"/>
  <c r="BN13" i="8"/>
  <c r="BO18" i="8"/>
  <c r="BN25" i="8"/>
  <c r="BO30" i="8"/>
  <c r="BN37" i="8"/>
  <c r="BO43" i="8"/>
  <c r="BO47" i="8"/>
  <c r="BO51" i="8"/>
  <c r="BN11" i="8"/>
  <c r="BO12" i="8"/>
  <c r="BN15" i="8"/>
  <c r="BO16" i="8"/>
  <c r="BN19" i="8"/>
  <c r="BO20" i="8"/>
  <c r="BN23" i="8"/>
  <c r="BO24" i="8"/>
  <c r="BN27" i="8"/>
  <c r="BO28" i="8"/>
  <c r="BN31" i="8"/>
  <c r="BO32" i="8"/>
  <c r="BN35" i="8"/>
  <c r="BO36" i="8"/>
  <c r="BN39" i="8"/>
  <c r="BO40" i="8"/>
  <c r="BN44" i="8"/>
  <c r="BO45" i="8"/>
  <c r="BN48" i="8"/>
  <c r="BO49" i="8"/>
  <c r="BN52" i="8"/>
  <c r="BO53" i="8"/>
  <c r="BN56" i="8"/>
  <c r="BP56" i="8" s="1"/>
  <c r="BO57" i="8"/>
  <c r="BO41" i="8"/>
  <c r="BO14" i="8"/>
  <c r="BN21" i="8"/>
  <c r="BP21" i="8" s="1"/>
  <c r="BO26" i="8"/>
  <c r="BN33" i="8"/>
  <c r="BP33" i="8" s="1"/>
  <c r="BN42" i="8"/>
  <c r="BP42" i="8" s="1"/>
  <c r="BN46" i="8"/>
  <c r="BP46" i="8" s="1"/>
  <c r="BN41" i="8"/>
  <c r="BO11" i="8"/>
  <c r="BN14" i="8"/>
  <c r="BP14" i="8" s="1"/>
  <c r="BO15" i="8"/>
  <c r="BN18" i="8"/>
  <c r="BO19" i="8"/>
  <c r="BN22" i="8"/>
  <c r="BO23" i="8"/>
  <c r="BN26" i="8"/>
  <c r="BP26" i="8" s="1"/>
  <c r="BO27" i="8"/>
  <c r="BN30" i="8"/>
  <c r="BO31" i="8"/>
  <c r="BN34" i="8"/>
  <c r="BO35" i="8"/>
  <c r="BN38" i="8"/>
  <c r="BP38" i="8" s="1"/>
  <c r="BO39" i="8"/>
  <c r="BN43" i="8"/>
  <c r="BO44" i="8"/>
  <c r="BN47" i="8"/>
  <c r="BO48" i="8"/>
  <c r="BN51" i="8"/>
  <c r="BP51" i="8" s="1"/>
  <c r="BO52" i="8"/>
  <c r="BN55" i="8"/>
  <c r="BO12" i="7"/>
  <c r="BN19" i="7"/>
  <c r="BO24" i="7"/>
  <c r="BO28" i="7"/>
  <c r="BO32" i="7"/>
  <c r="BO40" i="7"/>
  <c r="BN43" i="7"/>
  <c r="BO48" i="7"/>
  <c r="BO52" i="7"/>
  <c r="BO56" i="7"/>
  <c r="BN10" i="7"/>
  <c r="BO11" i="7"/>
  <c r="BN14" i="7"/>
  <c r="BO15" i="7"/>
  <c r="BN18" i="7"/>
  <c r="BO19" i="7"/>
  <c r="BN22" i="7"/>
  <c r="BO23" i="7"/>
  <c r="BN26" i="7"/>
  <c r="BO27" i="7"/>
  <c r="BN30" i="7"/>
  <c r="BO31" i="7"/>
  <c r="BN34" i="7"/>
  <c r="BO35" i="7"/>
  <c r="BP35" i="7" s="1"/>
  <c r="BN38" i="7"/>
  <c r="BO39" i="7"/>
  <c r="BN42" i="7"/>
  <c r="BO43" i="7"/>
  <c r="BN46" i="7"/>
  <c r="BO47" i="7"/>
  <c r="BN50" i="7"/>
  <c r="BO51" i="7"/>
  <c r="BN54" i="7"/>
  <c r="BO55" i="7"/>
  <c r="BN15" i="7"/>
  <c r="BP15" i="7" s="1"/>
  <c r="BO20" i="7"/>
  <c r="BN27" i="7"/>
  <c r="BN31" i="7"/>
  <c r="BP31" i="7" s="1"/>
  <c r="BO36" i="7"/>
  <c r="BN39" i="7"/>
  <c r="BP39" i="7" s="1"/>
  <c r="BO44" i="7"/>
  <c r="BN47" i="7"/>
  <c r="BP47" i="7" s="1"/>
  <c r="BN51" i="7"/>
  <c r="BN55" i="7"/>
  <c r="BP55" i="7" s="1"/>
  <c r="BO10" i="7"/>
  <c r="BN13" i="7"/>
  <c r="BO14" i="7"/>
  <c r="BN17" i="7"/>
  <c r="BO18" i="7"/>
  <c r="BN21" i="7"/>
  <c r="BO22" i="7"/>
  <c r="BN25" i="7"/>
  <c r="BO26" i="7"/>
  <c r="BN29" i="7"/>
  <c r="BO30" i="7"/>
  <c r="BN33" i="7"/>
  <c r="BO34" i="7"/>
  <c r="BN37" i="7"/>
  <c r="BO38" i="7"/>
  <c r="BN41" i="7"/>
  <c r="BO42" i="7"/>
  <c r="BN45" i="7"/>
  <c r="BO46" i="7"/>
  <c r="BN49" i="7"/>
  <c r="BO50" i="7"/>
  <c r="BN53" i="7"/>
  <c r="BO54" i="7"/>
  <c r="BN57" i="7"/>
  <c r="BP57" i="7" s="1"/>
  <c r="BN11" i="7"/>
  <c r="BO16" i="7"/>
  <c r="BN23" i="7"/>
  <c r="BP23" i="7" s="1"/>
  <c r="BN12" i="7"/>
  <c r="BO13" i="7"/>
  <c r="BN16" i="7"/>
  <c r="BO17" i="7"/>
  <c r="BN20" i="7"/>
  <c r="BP20" i="7" s="1"/>
  <c r="BO21" i="7"/>
  <c r="BN24" i="7"/>
  <c r="BO25" i="7"/>
  <c r="BN28" i="7"/>
  <c r="BP28" i="7" s="1"/>
  <c r="BO29" i="7"/>
  <c r="BN32" i="7"/>
  <c r="BO33" i="7"/>
  <c r="BN36" i="7"/>
  <c r="BO37" i="7"/>
  <c r="BN40" i="7"/>
  <c r="BP40" i="7" s="1"/>
  <c r="BO41" i="7"/>
  <c r="BN44" i="7"/>
  <c r="BO45" i="7"/>
  <c r="BN48" i="7"/>
  <c r="BO49" i="7"/>
  <c r="BN52" i="7"/>
  <c r="BO53" i="7"/>
  <c r="BN56" i="7"/>
  <c r="BP56" i="7" s="1"/>
  <c r="BN10" i="6"/>
  <c r="BO15" i="6"/>
  <c r="BN22" i="6"/>
  <c r="BO27" i="6"/>
  <c r="BN34" i="6"/>
  <c r="BO39" i="6"/>
  <c r="BO47" i="6"/>
  <c r="BN54" i="6"/>
  <c r="BO10" i="6"/>
  <c r="BN13" i="6"/>
  <c r="BO14" i="6"/>
  <c r="BN17" i="6"/>
  <c r="BO18" i="6"/>
  <c r="BN21" i="6"/>
  <c r="BO22" i="6"/>
  <c r="BN25" i="6"/>
  <c r="BO26" i="6"/>
  <c r="BN29" i="6"/>
  <c r="BO30" i="6"/>
  <c r="BN33" i="6"/>
  <c r="BO34" i="6"/>
  <c r="BN37" i="6"/>
  <c r="BO38" i="6"/>
  <c r="BN41" i="6"/>
  <c r="BO42" i="6"/>
  <c r="BN45" i="6"/>
  <c r="BO46" i="6"/>
  <c r="BN49" i="6"/>
  <c r="BO50" i="6"/>
  <c r="BN53" i="6"/>
  <c r="BO54" i="6"/>
  <c r="BN57" i="6"/>
  <c r="BO11" i="6"/>
  <c r="BN18" i="6"/>
  <c r="BP18" i="6" s="1"/>
  <c r="BO23" i="6"/>
  <c r="BN30" i="6"/>
  <c r="BP30" i="6" s="1"/>
  <c r="BN38" i="6"/>
  <c r="BO43" i="6"/>
  <c r="BN50" i="6"/>
  <c r="BO51" i="6"/>
  <c r="BN12" i="6"/>
  <c r="BO13" i="6"/>
  <c r="BN16" i="6"/>
  <c r="BO17" i="6"/>
  <c r="BN20" i="6"/>
  <c r="BO21" i="6"/>
  <c r="BN24" i="6"/>
  <c r="BO25" i="6"/>
  <c r="BN28" i="6"/>
  <c r="BO29" i="6"/>
  <c r="BN32" i="6"/>
  <c r="BO33" i="6"/>
  <c r="BN36" i="6"/>
  <c r="BO37" i="6"/>
  <c r="BN40" i="6"/>
  <c r="BO41" i="6"/>
  <c r="BN44" i="6"/>
  <c r="BO45" i="6"/>
  <c r="BN48" i="6"/>
  <c r="BO49" i="6"/>
  <c r="BN52" i="6"/>
  <c r="BO53" i="6"/>
  <c r="BN56" i="6"/>
  <c r="BP56" i="6" s="1"/>
  <c r="BO57" i="6"/>
  <c r="BN14" i="6"/>
  <c r="BO19" i="6"/>
  <c r="BN26" i="6"/>
  <c r="BO31" i="6"/>
  <c r="BO35" i="6"/>
  <c r="BN42" i="6"/>
  <c r="BP42" i="6" s="1"/>
  <c r="BN46" i="6"/>
  <c r="BP46" i="6" s="1"/>
  <c r="BN11" i="6"/>
  <c r="BO12" i="6"/>
  <c r="BN15" i="6"/>
  <c r="BP15" i="6" s="1"/>
  <c r="BO16" i="6"/>
  <c r="BN19" i="6"/>
  <c r="BO20" i="6"/>
  <c r="BN23" i="6"/>
  <c r="BO24" i="6"/>
  <c r="BN27" i="6"/>
  <c r="BP27" i="6" s="1"/>
  <c r="BO28" i="6"/>
  <c r="BN31" i="6"/>
  <c r="BO32" i="6"/>
  <c r="BN35" i="6"/>
  <c r="BO36" i="6"/>
  <c r="BN39" i="6"/>
  <c r="BO40" i="6"/>
  <c r="BN43" i="6"/>
  <c r="BO44" i="6"/>
  <c r="BN47" i="6"/>
  <c r="BP47" i="6" s="1"/>
  <c r="BO48" i="6"/>
  <c r="BN51" i="6"/>
  <c r="BP51" i="6" s="1"/>
  <c r="BO52" i="6"/>
  <c r="BN55" i="6"/>
  <c r="BP55" i="6" s="1"/>
  <c r="BN18" i="5"/>
  <c r="BO19" i="5"/>
  <c r="BN22" i="5"/>
  <c r="BO23" i="5"/>
  <c r="BN26" i="5"/>
  <c r="BO27" i="5"/>
  <c r="BN30" i="5"/>
  <c r="BO31" i="5"/>
  <c r="BN34" i="5"/>
  <c r="BO35" i="5"/>
  <c r="BN38" i="5"/>
  <c r="BO39" i="5"/>
  <c r="BN42" i="5"/>
  <c r="BO43" i="5"/>
  <c r="BN46" i="5"/>
  <c r="BO47" i="5"/>
  <c r="BN50" i="5"/>
  <c r="BO51" i="5"/>
  <c r="BN54" i="5"/>
  <c r="BO55" i="5"/>
  <c r="BN10" i="5"/>
  <c r="BO11" i="5"/>
  <c r="BO10" i="5"/>
  <c r="BN13" i="5"/>
  <c r="BO14" i="5"/>
  <c r="BP14" i="5" s="1"/>
  <c r="BN17" i="5"/>
  <c r="BO18" i="5"/>
  <c r="BN21" i="5"/>
  <c r="BO22" i="5"/>
  <c r="BN25" i="5"/>
  <c r="BO26" i="5"/>
  <c r="BN29" i="5"/>
  <c r="BO30" i="5"/>
  <c r="BN33" i="5"/>
  <c r="BO34" i="5"/>
  <c r="BN37" i="5"/>
  <c r="BO38" i="5"/>
  <c r="BN41" i="5"/>
  <c r="BO42" i="5"/>
  <c r="BN45" i="5"/>
  <c r="BO46" i="5"/>
  <c r="BN49" i="5"/>
  <c r="BO50" i="5"/>
  <c r="BN53" i="5"/>
  <c r="BO54" i="5"/>
  <c r="BN57" i="5"/>
  <c r="BN12" i="5"/>
  <c r="BO13" i="5"/>
  <c r="BN16" i="5"/>
  <c r="BO17" i="5"/>
  <c r="BN20" i="5"/>
  <c r="BO21" i="5"/>
  <c r="BN24" i="5"/>
  <c r="BO25" i="5"/>
  <c r="BN28" i="5"/>
  <c r="BO29" i="5"/>
  <c r="BN32" i="5"/>
  <c r="BO33" i="5"/>
  <c r="BN36" i="5"/>
  <c r="BO37" i="5"/>
  <c r="BN40" i="5"/>
  <c r="BO41" i="5"/>
  <c r="BN44" i="5"/>
  <c r="BO45" i="5"/>
  <c r="BN48" i="5"/>
  <c r="BO49" i="5"/>
  <c r="BN52" i="5"/>
  <c r="BO53" i="5"/>
  <c r="BN56" i="5"/>
  <c r="BP56" i="5" s="1"/>
  <c r="BO57" i="5"/>
  <c r="BN11" i="5"/>
  <c r="BO12" i="5"/>
  <c r="BN15" i="5"/>
  <c r="BP15" i="5" s="1"/>
  <c r="BO16" i="5"/>
  <c r="BN19" i="5"/>
  <c r="BO20" i="5"/>
  <c r="BN23" i="5"/>
  <c r="BO24" i="5"/>
  <c r="BN27" i="5"/>
  <c r="BO28" i="5"/>
  <c r="BN31" i="5"/>
  <c r="BO32" i="5"/>
  <c r="BN35" i="5"/>
  <c r="BO36" i="5"/>
  <c r="BN39" i="5"/>
  <c r="BO40" i="5"/>
  <c r="BN43" i="5"/>
  <c r="BO44" i="5"/>
  <c r="BN47" i="5"/>
  <c r="BO48" i="5"/>
  <c r="BN51" i="5"/>
  <c r="BO52" i="5"/>
  <c r="BN55" i="5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D6" i="4"/>
  <c r="BP12" i="11" l="1"/>
  <c r="BP49" i="13"/>
  <c r="BP33" i="13"/>
  <c r="BP44" i="7"/>
  <c r="BP12" i="7"/>
  <c r="BP52" i="7"/>
  <c r="BP32" i="7"/>
  <c r="BP27" i="14"/>
  <c r="BP12" i="14"/>
  <c r="BP38" i="14"/>
  <c r="BP53" i="14"/>
  <c r="BP45" i="14"/>
  <c r="BP37" i="14"/>
  <c r="BP29" i="14"/>
  <c r="BP21" i="14"/>
  <c r="BP13" i="14"/>
  <c r="BP54" i="10"/>
  <c r="BP11" i="10"/>
  <c r="BP47" i="9"/>
  <c r="BP34" i="8"/>
  <c r="BP43" i="8"/>
  <c r="BP18" i="8"/>
  <c r="BP41" i="8"/>
  <c r="BP25" i="8"/>
  <c r="BP39" i="6"/>
  <c r="BP35" i="6"/>
  <c r="BP11" i="6"/>
  <c r="BP26" i="6"/>
  <c r="BP50" i="6"/>
  <c r="BP43" i="6"/>
  <c r="BP19" i="6"/>
  <c r="BP54" i="6"/>
  <c r="BP40" i="15"/>
  <c r="BP35" i="15"/>
  <c r="BP50" i="15"/>
  <c r="BP27" i="15"/>
  <c r="BP47" i="15"/>
  <c r="BP24" i="15"/>
  <c r="BO8" i="15"/>
  <c r="BP42" i="15"/>
  <c r="BP23" i="15"/>
  <c r="BP52" i="15"/>
  <c r="BP44" i="15"/>
  <c r="BP37" i="15"/>
  <c r="BP29" i="15"/>
  <c r="BP21" i="15"/>
  <c r="BP13" i="15"/>
  <c r="BP57" i="15"/>
  <c r="BP49" i="15"/>
  <c r="BP11" i="15"/>
  <c r="BP34" i="15"/>
  <c r="BP26" i="15"/>
  <c r="BP18" i="15"/>
  <c r="BN8" i="15"/>
  <c r="BP10" i="15"/>
  <c r="BP48" i="15"/>
  <c r="BP41" i="15"/>
  <c r="BP33" i="15"/>
  <c r="BP25" i="15"/>
  <c r="BP17" i="15"/>
  <c r="BP53" i="15"/>
  <c r="BP45" i="15"/>
  <c r="BP38" i="15"/>
  <c r="BP30" i="15"/>
  <c r="BP22" i="15"/>
  <c r="BP14" i="15"/>
  <c r="BP43" i="14"/>
  <c r="BP19" i="14"/>
  <c r="BP52" i="14"/>
  <c r="BP44" i="14"/>
  <c r="BP36" i="14"/>
  <c r="BP28" i="14"/>
  <c r="BP20" i="14"/>
  <c r="BP39" i="14"/>
  <c r="BP15" i="14"/>
  <c r="BP47" i="14"/>
  <c r="BP31" i="14"/>
  <c r="BP50" i="14"/>
  <c r="BN8" i="14"/>
  <c r="BP10" i="14"/>
  <c r="BO8" i="14"/>
  <c r="BP30" i="14"/>
  <c r="BP48" i="14"/>
  <c r="BP40" i="14"/>
  <c r="BP32" i="14"/>
  <c r="BP24" i="14"/>
  <c r="BP16" i="14"/>
  <c r="BP57" i="14"/>
  <c r="BP49" i="14"/>
  <c r="BP41" i="14"/>
  <c r="BP33" i="14"/>
  <c r="BP25" i="14"/>
  <c r="BP17" i="14"/>
  <c r="BP54" i="14"/>
  <c r="BP22" i="14"/>
  <c r="BP42" i="14"/>
  <c r="BP14" i="14"/>
  <c r="BP55" i="13"/>
  <c r="BP22" i="13"/>
  <c r="BN8" i="13"/>
  <c r="BP10" i="13"/>
  <c r="BP52" i="13"/>
  <c r="BP44" i="13"/>
  <c r="BP36" i="13"/>
  <c r="BP28" i="13"/>
  <c r="BP20" i="13"/>
  <c r="BP12" i="13"/>
  <c r="BP45" i="13"/>
  <c r="BP50" i="13"/>
  <c r="BP47" i="13"/>
  <c r="BP39" i="13"/>
  <c r="BP23" i="13"/>
  <c r="BP29" i="13"/>
  <c r="BP13" i="13"/>
  <c r="BP38" i="13"/>
  <c r="BP57" i="13"/>
  <c r="BP41" i="13"/>
  <c r="BO8" i="13"/>
  <c r="BP46" i="13"/>
  <c r="BP34" i="13"/>
  <c r="BP18" i="13"/>
  <c r="BP48" i="13"/>
  <c r="BP40" i="13"/>
  <c r="BP32" i="13"/>
  <c r="BP24" i="13"/>
  <c r="BP16" i="13"/>
  <c r="BP53" i="13"/>
  <c r="BP37" i="13"/>
  <c r="BP42" i="13"/>
  <c r="BP27" i="12"/>
  <c r="BP50" i="12"/>
  <c r="BP31" i="12"/>
  <c r="BP26" i="12"/>
  <c r="BP42" i="12"/>
  <c r="BP18" i="12"/>
  <c r="BN8" i="12"/>
  <c r="BP10" i="12"/>
  <c r="BP52" i="12"/>
  <c r="BP44" i="12"/>
  <c r="BP36" i="12"/>
  <c r="BP28" i="12"/>
  <c r="BP20" i="12"/>
  <c r="BP12" i="12"/>
  <c r="BO8" i="12"/>
  <c r="BP34" i="12"/>
  <c r="BP57" i="12"/>
  <c r="BP49" i="12"/>
  <c r="BP41" i="12"/>
  <c r="BP33" i="12"/>
  <c r="BP25" i="12"/>
  <c r="BP17" i="12"/>
  <c r="BP23" i="12"/>
  <c r="BP48" i="12"/>
  <c r="BP40" i="12"/>
  <c r="BP32" i="12"/>
  <c r="BP24" i="12"/>
  <c r="BP16" i="12"/>
  <c r="BP46" i="12"/>
  <c r="BP22" i="12"/>
  <c r="BP53" i="12"/>
  <c r="BP45" i="12"/>
  <c r="BP37" i="12"/>
  <c r="BP29" i="12"/>
  <c r="BP21" i="12"/>
  <c r="BP13" i="12"/>
  <c r="BP55" i="11"/>
  <c r="BP23" i="11"/>
  <c r="BP44" i="11"/>
  <c r="BP20" i="11"/>
  <c r="BP52" i="11"/>
  <c r="BP36" i="11"/>
  <c r="BP28" i="11"/>
  <c r="BP15" i="11"/>
  <c r="BP22" i="11"/>
  <c r="BP54" i="11"/>
  <c r="BP50" i="11"/>
  <c r="BP43" i="10"/>
  <c r="BP35" i="10"/>
  <c r="BP19" i="10"/>
  <c r="BP50" i="10"/>
  <c r="BP26" i="10"/>
  <c r="BO8" i="11"/>
  <c r="BP34" i="11"/>
  <c r="BP57" i="11"/>
  <c r="BP49" i="11"/>
  <c r="BP41" i="11"/>
  <c r="BP33" i="11"/>
  <c r="BP25" i="11"/>
  <c r="BP17" i="11"/>
  <c r="BP31" i="11"/>
  <c r="BP48" i="11"/>
  <c r="BP40" i="11"/>
  <c r="BP32" i="11"/>
  <c r="BP24" i="11"/>
  <c r="BP16" i="11"/>
  <c r="BP26" i="11"/>
  <c r="BP46" i="11"/>
  <c r="BP18" i="11"/>
  <c r="BN8" i="11"/>
  <c r="BP10" i="11"/>
  <c r="BP42" i="11"/>
  <c r="BP53" i="11"/>
  <c r="BP45" i="11"/>
  <c r="BP37" i="11"/>
  <c r="BP29" i="11"/>
  <c r="BP21" i="11"/>
  <c r="BP13" i="11"/>
  <c r="BP47" i="10"/>
  <c r="BP31" i="10"/>
  <c r="BP23" i="10"/>
  <c r="BP38" i="10"/>
  <c r="BP14" i="10"/>
  <c r="BP43" i="9"/>
  <c r="BP35" i="9"/>
  <c r="BP11" i="9"/>
  <c r="BP50" i="9"/>
  <c r="BP57" i="10"/>
  <c r="BP49" i="10"/>
  <c r="BP41" i="10"/>
  <c r="BP33" i="10"/>
  <c r="BP25" i="10"/>
  <c r="BP17" i="10"/>
  <c r="BP48" i="10"/>
  <c r="BP40" i="10"/>
  <c r="BP32" i="10"/>
  <c r="BP24" i="10"/>
  <c r="BP16" i="10"/>
  <c r="BP46" i="10"/>
  <c r="BP22" i="10"/>
  <c r="BP53" i="10"/>
  <c r="BP45" i="10"/>
  <c r="BP37" i="10"/>
  <c r="BP29" i="10"/>
  <c r="BP21" i="10"/>
  <c r="BP13" i="10"/>
  <c r="BN8" i="10"/>
  <c r="BP10" i="10"/>
  <c r="BP52" i="10"/>
  <c r="BP44" i="10"/>
  <c r="BP36" i="10"/>
  <c r="BP28" i="10"/>
  <c r="BP20" i="10"/>
  <c r="BP12" i="10"/>
  <c r="BO8" i="10"/>
  <c r="BP34" i="10"/>
  <c r="BP26" i="9"/>
  <c r="BP33" i="9"/>
  <c r="BP23" i="9"/>
  <c r="BP48" i="9"/>
  <c r="BP40" i="9"/>
  <c r="BP32" i="9"/>
  <c r="BP24" i="9"/>
  <c r="BP16" i="9"/>
  <c r="BP49" i="9"/>
  <c r="BP25" i="9"/>
  <c r="BP31" i="9"/>
  <c r="BP53" i="9"/>
  <c r="BP45" i="9"/>
  <c r="BP37" i="9"/>
  <c r="BP29" i="9"/>
  <c r="BP21" i="9"/>
  <c r="BP13" i="9"/>
  <c r="BP42" i="9"/>
  <c r="BP57" i="9"/>
  <c r="BP41" i="9"/>
  <c r="BP17" i="9"/>
  <c r="BP52" i="9"/>
  <c r="BP44" i="9"/>
  <c r="BP36" i="9"/>
  <c r="BP28" i="9"/>
  <c r="BP20" i="9"/>
  <c r="BP12" i="9"/>
  <c r="BN8" i="9"/>
  <c r="BP10" i="9"/>
  <c r="BO8" i="9"/>
  <c r="BP38" i="9"/>
  <c r="BP14" i="9"/>
  <c r="BP50" i="8"/>
  <c r="BP31" i="8"/>
  <c r="BP55" i="8"/>
  <c r="BP47" i="8"/>
  <c r="BP30" i="8"/>
  <c r="BP22" i="8"/>
  <c r="BP39" i="8"/>
  <c r="BP48" i="8"/>
  <c r="BP23" i="8"/>
  <c r="BP15" i="8"/>
  <c r="BP53" i="8"/>
  <c r="BP45" i="8"/>
  <c r="BP36" i="8"/>
  <c r="BP28" i="8"/>
  <c r="BP20" i="8"/>
  <c r="BP12" i="8"/>
  <c r="BP17" i="8"/>
  <c r="BP52" i="8"/>
  <c r="BP44" i="8"/>
  <c r="BP35" i="8"/>
  <c r="BP27" i="8"/>
  <c r="BP19" i="8"/>
  <c r="BP11" i="8"/>
  <c r="BP37" i="8"/>
  <c r="BP13" i="8"/>
  <c r="BO8" i="8"/>
  <c r="BN8" i="8"/>
  <c r="BP10" i="8"/>
  <c r="BP57" i="8"/>
  <c r="BP49" i="8"/>
  <c r="BP40" i="8"/>
  <c r="BP32" i="8"/>
  <c r="BP24" i="8"/>
  <c r="BP16" i="8"/>
  <c r="BP29" i="8"/>
  <c r="BP16" i="7"/>
  <c r="BP50" i="7"/>
  <c r="BP42" i="7"/>
  <c r="BP34" i="7"/>
  <c r="BP26" i="7"/>
  <c r="BP18" i="7"/>
  <c r="BP51" i="7"/>
  <c r="BP43" i="7"/>
  <c r="BP48" i="7"/>
  <c r="BP11" i="7"/>
  <c r="BP27" i="7"/>
  <c r="BP10" i="7"/>
  <c r="BN8" i="7"/>
  <c r="BP24" i="7"/>
  <c r="BP53" i="7"/>
  <c r="BP45" i="7"/>
  <c r="BP37" i="7"/>
  <c r="BP29" i="7"/>
  <c r="BP21" i="7"/>
  <c r="BP13" i="7"/>
  <c r="BP19" i="7"/>
  <c r="BO8" i="7"/>
  <c r="BP54" i="7"/>
  <c r="BP46" i="7"/>
  <c r="BP38" i="7"/>
  <c r="BP30" i="7"/>
  <c r="BP22" i="7"/>
  <c r="BP14" i="7"/>
  <c r="BP36" i="7"/>
  <c r="BP49" i="7"/>
  <c r="BP41" i="7"/>
  <c r="BP33" i="7"/>
  <c r="BP25" i="7"/>
  <c r="BP17" i="7"/>
  <c r="BP23" i="6"/>
  <c r="BP14" i="6"/>
  <c r="BP38" i="6"/>
  <c r="BP27" i="5"/>
  <c r="BP19" i="5"/>
  <c r="BP57" i="6"/>
  <c r="BP49" i="6"/>
  <c r="BP41" i="6"/>
  <c r="BP33" i="6"/>
  <c r="BP25" i="6"/>
  <c r="BP17" i="6"/>
  <c r="BP48" i="6"/>
  <c r="BP40" i="6"/>
  <c r="BP32" i="6"/>
  <c r="BP24" i="6"/>
  <c r="BP16" i="6"/>
  <c r="BP22" i="6"/>
  <c r="BP31" i="6"/>
  <c r="BP53" i="6"/>
  <c r="BP45" i="6"/>
  <c r="BP37" i="6"/>
  <c r="BP29" i="6"/>
  <c r="BP21" i="6"/>
  <c r="BP13" i="6"/>
  <c r="BP52" i="6"/>
  <c r="BP44" i="6"/>
  <c r="BP36" i="6"/>
  <c r="BP28" i="6"/>
  <c r="BP20" i="6"/>
  <c r="BP12" i="6"/>
  <c r="BO8" i="6"/>
  <c r="BP34" i="6"/>
  <c r="BN8" i="6"/>
  <c r="BP10" i="6"/>
  <c r="BP51" i="5"/>
  <c r="BP43" i="5"/>
  <c r="BP35" i="5"/>
  <c r="BP11" i="5"/>
  <c r="BP54" i="5"/>
  <c r="BP46" i="5"/>
  <c r="BP38" i="5"/>
  <c r="BP30" i="5"/>
  <c r="BP22" i="5"/>
  <c r="BP44" i="5"/>
  <c r="BP28" i="5"/>
  <c r="BP20" i="5"/>
  <c r="BP12" i="5"/>
  <c r="BP52" i="5"/>
  <c r="BP36" i="5"/>
  <c r="BP55" i="5"/>
  <c r="BP47" i="5"/>
  <c r="BP39" i="5"/>
  <c r="BP31" i="5"/>
  <c r="BP23" i="5"/>
  <c r="BO8" i="5"/>
  <c r="BP49" i="5"/>
  <c r="BP33" i="5"/>
  <c r="BP17" i="5"/>
  <c r="BP48" i="5"/>
  <c r="BP40" i="5"/>
  <c r="BP32" i="5"/>
  <c r="BP24" i="5"/>
  <c r="BP16" i="5"/>
  <c r="BN8" i="5"/>
  <c r="BP10" i="5"/>
  <c r="BP50" i="5"/>
  <c r="BP42" i="5"/>
  <c r="BP34" i="5"/>
  <c r="BP26" i="5"/>
  <c r="BP18" i="5"/>
  <c r="BP57" i="5"/>
  <c r="BP41" i="5"/>
  <c r="BP25" i="5"/>
  <c r="BP53" i="5"/>
  <c r="BP45" i="5"/>
  <c r="BP37" i="5"/>
  <c r="BP29" i="5"/>
  <c r="BP21" i="5"/>
  <c r="BP13" i="5"/>
  <c r="BN49" i="4"/>
  <c r="BN51" i="4"/>
  <c r="BN53" i="4"/>
  <c r="BN55" i="4"/>
  <c r="BN57" i="4"/>
  <c r="BO51" i="4"/>
  <c r="BO53" i="4"/>
  <c r="BO55" i="4"/>
  <c r="BO49" i="4"/>
  <c r="BO57" i="4"/>
  <c r="BN50" i="4"/>
  <c r="BN52" i="4"/>
  <c r="BN54" i="4"/>
  <c r="BN56" i="4"/>
  <c r="BO50" i="4"/>
  <c r="BO52" i="4"/>
  <c r="BO54" i="4"/>
  <c r="BO56" i="4"/>
  <c r="BO48" i="4"/>
  <c r="BN12" i="4"/>
  <c r="BO11" i="4"/>
  <c r="BN15" i="4"/>
  <c r="BO10" i="4"/>
  <c r="BN18" i="4"/>
  <c r="BO19" i="4"/>
  <c r="BN22" i="4"/>
  <c r="BO23" i="4"/>
  <c r="BN26" i="4"/>
  <c r="BO27" i="4"/>
  <c r="BN30" i="4"/>
  <c r="BO31" i="4"/>
  <c r="BN34" i="4"/>
  <c r="BO35" i="4"/>
  <c r="BN38" i="4"/>
  <c r="BO39" i="4"/>
  <c r="BN42" i="4"/>
  <c r="BO43" i="4"/>
  <c r="BN46" i="4"/>
  <c r="BO47" i="4"/>
  <c r="BO12" i="4"/>
  <c r="BN11" i="4"/>
  <c r="BO16" i="4"/>
  <c r="BN17" i="4"/>
  <c r="BO18" i="4"/>
  <c r="BN21" i="4"/>
  <c r="BO22" i="4"/>
  <c r="BN25" i="4"/>
  <c r="BO26" i="4"/>
  <c r="BN29" i="4"/>
  <c r="BO30" i="4"/>
  <c r="BN33" i="4"/>
  <c r="BO34" i="4"/>
  <c r="BN37" i="4"/>
  <c r="BO38" i="4"/>
  <c r="BN41" i="4"/>
  <c r="BO42" i="4"/>
  <c r="BN45" i="4"/>
  <c r="BO46" i="4"/>
  <c r="BN14" i="4"/>
  <c r="BO13" i="4"/>
  <c r="BN10" i="4"/>
  <c r="BO17" i="4"/>
  <c r="BN20" i="4"/>
  <c r="BO21" i="4"/>
  <c r="BN24" i="4"/>
  <c r="BO25" i="4"/>
  <c r="BN28" i="4"/>
  <c r="BO29" i="4"/>
  <c r="BN32" i="4"/>
  <c r="BO33" i="4"/>
  <c r="BN36" i="4"/>
  <c r="BO37" i="4"/>
  <c r="BN40" i="4"/>
  <c r="BO41" i="4"/>
  <c r="BN44" i="4"/>
  <c r="BO45" i="4"/>
  <c r="BN48" i="4"/>
  <c r="BN13" i="4"/>
  <c r="BO15" i="4"/>
  <c r="BN16" i="4"/>
  <c r="BO14" i="4"/>
  <c r="BN19" i="4"/>
  <c r="BO20" i="4"/>
  <c r="BN23" i="4"/>
  <c r="BO24" i="4"/>
  <c r="BN27" i="4"/>
  <c r="BO28" i="4"/>
  <c r="BN31" i="4"/>
  <c r="BO32" i="4"/>
  <c r="BN35" i="4"/>
  <c r="BO36" i="4"/>
  <c r="BN39" i="4"/>
  <c r="BO40" i="4"/>
  <c r="BN43" i="4"/>
  <c r="BO44" i="4"/>
  <c r="BN47" i="4"/>
  <c r="BP8" i="15" l="1"/>
  <c r="BP8" i="14"/>
  <c r="BP8" i="13"/>
  <c r="BP8" i="12"/>
  <c r="BP8" i="11"/>
  <c r="BP8" i="10"/>
  <c r="BP8" i="9"/>
  <c r="BP8" i="8"/>
  <c r="BP8" i="7"/>
  <c r="BP8" i="6"/>
  <c r="BP8" i="5"/>
  <c r="BP52" i="4"/>
  <c r="BP55" i="4"/>
  <c r="BP50" i="4"/>
  <c r="BP53" i="4"/>
  <c r="BP56" i="4"/>
  <c r="BP51" i="4"/>
  <c r="BP54" i="4"/>
  <c r="BP57" i="4"/>
  <c r="BP49" i="4"/>
  <c r="BP40" i="4"/>
  <c r="BP39" i="4"/>
  <c r="BP26" i="4"/>
  <c r="BP18" i="4"/>
  <c r="BP10" i="4"/>
  <c r="BP42" i="4"/>
  <c r="BP34" i="4"/>
  <c r="BP44" i="4"/>
  <c r="BP38" i="4"/>
  <c r="BP30" i="4"/>
  <c r="BP22" i="4"/>
  <c r="BP14" i="4"/>
  <c r="BP37" i="4"/>
  <c r="BP29" i="4"/>
  <c r="BP21" i="4"/>
  <c r="BP13" i="4"/>
  <c r="BP45" i="4"/>
  <c r="BP31" i="4"/>
  <c r="BP23" i="4"/>
  <c r="BP15" i="4"/>
  <c r="BP36" i="4"/>
  <c r="BP28" i="4"/>
  <c r="BP20" i="4"/>
  <c r="BP12" i="4"/>
  <c r="BP46" i="4"/>
  <c r="BO8" i="4"/>
  <c r="BP33" i="4"/>
  <c r="BP25" i="4"/>
  <c r="BP17" i="4"/>
  <c r="BP47" i="4"/>
  <c r="BN8" i="4"/>
  <c r="BP43" i="4"/>
  <c r="BP35" i="4"/>
  <c r="BP27" i="4"/>
  <c r="BP19" i="4"/>
  <c r="BP11" i="4"/>
  <c r="BP41" i="4"/>
  <c r="BP32" i="4"/>
  <c r="BP24" i="4"/>
  <c r="BP16" i="4"/>
  <c r="BP48" i="4"/>
  <c r="BP8" i="4" l="1"/>
</calcChain>
</file>

<file path=xl/sharedStrings.xml><?xml version="1.0" encoding="utf-8"?>
<sst xmlns="http://schemas.openxmlformats.org/spreadsheetml/2006/main" count="1468" uniqueCount="124">
  <si>
    <t>A</t>
  </si>
  <si>
    <t>Heures d'Absence</t>
  </si>
  <si>
    <t>TA</t>
  </si>
  <si>
    <t>Total Absences</t>
  </si>
  <si>
    <t>J</t>
  </si>
  <si>
    <t>Heures Justifiées</t>
  </si>
  <si>
    <t>TJ</t>
  </si>
  <si>
    <t>Total Justifiés</t>
  </si>
  <si>
    <t>TNJ</t>
  </si>
  <si>
    <t>Total Non Justifiés</t>
  </si>
  <si>
    <t>Entrer l'Année ici</t>
  </si>
  <si>
    <t>LIAGE 3</t>
  </si>
  <si>
    <t>Bilan Absences Mois de Janvier</t>
  </si>
  <si>
    <t>Total Janvier</t>
  </si>
  <si>
    <t>Prénom</t>
  </si>
  <si>
    <t>Nom</t>
  </si>
  <si>
    <t>Papa Aly Djibr</t>
  </si>
  <si>
    <t>BA</t>
  </si>
  <si>
    <t>Malika</t>
  </si>
  <si>
    <t>MOUSSA COULIBALY</t>
  </si>
  <si>
    <t>Abdoulaye Magatte Mohamed</t>
  </si>
  <si>
    <t>BARRY</t>
  </si>
  <si>
    <t>Bineta</t>
  </si>
  <si>
    <t>BATHILY</t>
  </si>
  <si>
    <t>Chrisdin Frejis</t>
  </si>
  <si>
    <t>BISSOMBOLO NGOUMA</t>
  </si>
  <si>
    <t>Cheikh Assane</t>
  </si>
  <si>
    <t>CISSE</t>
  </si>
  <si>
    <t>Cheikhou</t>
  </si>
  <si>
    <t>Maïmouna</t>
  </si>
  <si>
    <t>COLY</t>
  </si>
  <si>
    <t>Fatoumata Siga</t>
  </si>
  <si>
    <t>COULIBALY</t>
  </si>
  <si>
    <t>Djibril</t>
  </si>
  <si>
    <t>DIAGNE</t>
  </si>
  <si>
    <t>Fatoumata Thierno</t>
  </si>
  <si>
    <t>DIAITE</t>
  </si>
  <si>
    <t>Papa Mbarick</t>
  </si>
  <si>
    <t>DIAKHATE</t>
  </si>
  <si>
    <t>Almamy</t>
  </si>
  <si>
    <t>DIAKHO</t>
  </si>
  <si>
    <t xml:space="preserve">Seydou Abdou S. </t>
  </si>
  <si>
    <t>DIALLO</t>
  </si>
  <si>
    <t>Mame Dieynaba</t>
  </si>
  <si>
    <t>DIAO</t>
  </si>
  <si>
    <t>Khadidiatou</t>
  </si>
  <si>
    <t>DIAW</t>
  </si>
  <si>
    <t>Pape Thierno</t>
  </si>
  <si>
    <t>DIENG</t>
  </si>
  <si>
    <t>Mayoro</t>
  </si>
  <si>
    <t>DIOP</t>
  </si>
  <si>
    <t>Ndèye Fatou</t>
  </si>
  <si>
    <t>Papa Gora</t>
  </si>
  <si>
    <t>Amy</t>
  </si>
  <si>
    <t>DIOUF</t>
  </si>
  <si>
    <t>Anna Ndiaye</t>
  </si>
  <si>
    <t>FALL</t>
  </si>
  <si>
    <t xml:space="preserve">Babacar Moïse A. </t>
  </si>
  <si>
    <t xml:space="preserve">Macodou </t>
  </si>
  <si>
    <t>Marcelle Mariama</t>
  </si>
  <si>
    <t>Mamadou</t>
  </si>
  <si>
    <t>GADIAGA</t>
  </si>
  <si>
    <t>Maty</t>
  </si>
  <si>
    <t>GUEYE</t>
  </si>
  <si>
    <t>Sokhna Maïmouna</t>
  </si>
  <si>
    <t>Pape Pierre</t>
  </si>
  <si>
    <t>KA</t>
  </si>
  <si>
    <t>Yatma Gueye</t>
  </si>
  <si>
    <t>MBODJI</t>
  </si>
  <si>
    <t>Arame</t>
  </si>
  <si>
    <t>MBOUP</t>
  </si>
  <si>
    <t xml:space="preserve">Mbayang </t>
  </si>
  <si>
    <t>MBOW</t>
  </si>
  <si>
    <t>Mor</t>
  </si>
  <si>
    <t>NDAO</t>
  </si>
  <si>
    <t>Fatoumata Binetou</t>
  </si>
  <si>
    <t>NDAW</t>
  </si>
  <si>
    <t>Bintou</t>
  </si>
  <si>
    <t>NDIAYE</t>
  </si>
  <si>
    <t>El Hadji Papa T.</t>
  </si>
  <si>
    <t>Khadija</t>
  </si>
  <si>
    <t>NIANG</t>
  </si>
  <si>
    <t>Sorou</t>
  </si>
  <si>
    <t>Alioune Karim A.</t>
  </si>
  <si>
    <t>SANE</t>
  </si>
  <si>
    <t>Ndeye Penda</t>
  </si>
  <si>
    <t>SECK</t>
  </si>
  <si>
    <t>Baba Cora</t>
  </si>
  <si>
    <t>SENE</t>
  </si>
  <si>
    <t xml:space="preserve">Papa Maodo </t>
  </si>
  <si>
    <t>Assane</t>
  </si>
  <si>
    <t>SOW</t>
  </si>
  <si>
    <t>Cheikh Ahmed T.</t>
  </si>
  <si>
    <t>Adam</t>
  </si>
  <si>
    <t>SY</t>
  </si>
  <si>
    <t>Harouna</t>
  </si>
  <si>
    <t>Abdoul Ahad</t>
  </si>
  <si>
    <t>THIOUNE</t>
  </si>
  <si>
    <t>Armel Isidore P.</t>
  </si>
  <si>
    <t>TRAORE</t>
  </si>
  <si>
    <t>Bilan Absences Mois de Février</t>
  </si>
  <si>
    <t>Total Février</t>
  </si>
  <si>
    <t>Bilan Absences Mois de Mars</t>
  </si>
  <si>
    <t>Total Mars</t>
  </si>
  <si>
    <t>Bilan Absences Mois de Avril</t>
  </si>
  <si>
    <t>Total Avril</t>
  </si>
  <si>
    <t>Bilan Absences Mois de Mai</t>
  </si>
  <si>
    <t>Total Mai</t>
  </si>
  <si>
    <t>Bilan Absences Mois de Juin</t>
  </si>
  <si>
    <t>Total Juin</t>
  </si>
  <si>
    <t>Bilan Absences Mois de Juillet</t>
  </si>
  <si>
    <t>Total Juillet</t>
  </si>
  <si>
    <t>Bilan Absences Mois de Août</t>
  </si>
  <si>
    <t>Total Août</t>
  </si>
  <si>
    <t>Bilan Absences Mois de Septembre</t>
  </si>
  <si>
    <t>Total Septembre</t>
  </si>
  <si>
    <t>Bilan Absences Mois de Octobre</t>
  </si>
  <si>
    <t>Total Octobre</t>
  </si>
  <si>
    <t>Bilan Absences Mois de Novembre</t>
  </si>
  <si>
    <t>Total Novembre</t>
  </si>
  <si>
    <t>Bilan Absences Mois de Decembre</t>
  </si>
  <si>
    <t>Total Decembre</t>
  </si>
  <si>
    <r>
      <t xml:space="preserve">option impression: Hide columns between Nom </t>
    </r>
    <r>
      <rPr>
        <i/>
        <sz val="11"/>
        <color theme="1"/>
        <rFont val="Calibri"/>
        <family val="2"/>
        <scheme val="minor"/>
      </rPr>
      <t>Etudiant</t>
    </r>
    <r>
      <rPr>
        <sz val="11"/>
        <color theme="1"/>
        <rFont val="Calibri"/>
        <family val="2"/>
        <scheme val="minor"/>
      </rPr>
      <t xml:space="preserve"> et </t>
    </r>
    <r>
      <rPr>
        <i/>
        <sz val="11"/>
        <color theme="1"/>
        <rFont val="Calibri"/>
        <family val="2"/>
        <scheme val="minor"/>
      </rPr>
      <t>Totaux</t>
    </r>
  </si>
  <si>
    <t>Prenom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</si>
</sst>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/>
    <xf numFmtId="0" fontId="1" fillId="0" borderId="0" xfId="0" applyFont="1" applyAlignment="1">
      <alignment horizontal="center" vertical="center"/>
    </xf>
    <xf numFmtId="0" fontId="4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0" borderId="0" xfId="0" applyFont="1"/>
    <xf numFmtId="0" fontId="1" fillId="5" borderId="0" xfId="0" applyFont="1" applyFill="1" applyBorder="1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Border="1"/>
    <xf numFmtId="0" fontId="0" fillId="6" borderId="0" xfId="0" applyFill="1"/>
    <xf numFmtId="0" fontId="0" fillId="0" borderId="0" xfId="0" applyFill="1"/>
    <xf numFmtId="164" fontId="1" fillId="0" borderId="0" xfId="0" applyNumberFormat="1" applyFont="1"/>
    <xf numFmtId="0" fontId="5" fillId="0" borderId="0" xfId="0" applyFont="1"/>
    <xf numFmtId="0" fontId="5" fillId="2" borderId="0" xfId="0" applyFont="1" applyFill="1" applyAlignment="1">
      <alignment horizontal="centerContinuous"/>
    </xf>
    <xf numFmtId="0" fontId="0" fillId="6" borderId="0" xfId="0" applyFill="1" applyBorder="1"/>
    <xf numFmtId="0" fontId="2" fillId="0" borderId="0" xfId="0" applyFont="1" applyFill="1" applyBorder="1" applyAlignment="1">
      <alignment horizontal="centerContinuous" vertical="center"/>
    </xf>
    <xf numFmtId="0" fontId="2" fillId="0" borderId="1" xfId="0" applyFont="1" applyFill="1" applyBorder="1" applyAlignment="1">
      <alignment horizontal="centerContinuous" vertical="center"/>
    </xf>
    <xf numFmtId="0" fontId="2" fillId="0" borderId="2" xfId="0" applyFont="1" applyFill="1" applyBorder="1" applyAlignment="1">
      <alignment horizontal="centerContinuous" vertical="center"/>
    </xf>
    <xf numFmtId="0" fontId="2" fillId="0" borderId="2" xfId="0" applyFont="1" applyFill="1" applyBorder="1" applyAlignment="1">
      <alignment horizontal="centerContinuous"/>
    </xf>
    <xf numFmtId="0" fontId="2" fillId="0" borderId="1" xfId="0" applyFont="1" applyFill="1" applyBorder="1" applyAlignment="1">
      <alignment horizontal="centerContinuous"/>
    </xf>
    <xf numFmtId="0" fontId="2" fillId="0" borderId="0" xfId="0" applyFont="1" applyFill="1" applyBorder="1" applyAlignment="1">
      <alignment horizontal="centerContinuous"/>
    </xf>
    <xf numFmtId="0" fontId="0" fillId="7" borderId="0" xfId="0" applyFill="1"/>
    <xf numFmtId="0" fontId="1" fillId="0" borderId="3" xfId="0" applyFont="1" applyBorder="1" applyAlignment="1">
      <alignment horizontal="left" vertical="center"/>
    </xf>
    <xf numFmtId="0" fontId="1" fillId="6" borderId="3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0" fillId="6" borderId="0" xfId="0" applyFill="1" applyProtection="1">
      <protection locked="0"/>
    </xf>
    <xf numFmtId="0" fontId="0" fillId="6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5" fillId="2" borderId="0" xfId="0" applyFont="1" applyFill="1" applyAlignment="1" applyProtection="1">
      <alignment horizontal="centerContinuous"/>
      <protection locked="0"/>
    </xf>
    <xf numFmtId="0" fontId="1" fillId="5" borderId="0" xfId="0" applyFont="1" applyFill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  <protection locked="0"/>
    </xf>
    <xf numFmtId="0" fontId="0" fillId="0" borderId="0" xfId="0" applyProtection="1">
      <protection hidden="1"/>
    </xf>
    <xf numFmtId="0" fontId="1" fillId="6" borderId="3" xfId="0" applyFont="1" applyFill="1" applyBorder="1" applyAlignment="1" applyProtection="1">
      <alignment horizontal="center" vertical="center"/>
      <protection hidden="1"/>
    </xf>
    <xf numFmtId="0" fontId="1" fillId="6" borderId="4" xfId="0" applyFont="1" applyFill="1" applyBorder="1" applyAlignment="1" applyProtection="1">
      <alignment horizontal="center" vertical="center"/>
      <protection hidden="1"/>
    </xf>
    <xf numFmtId="0" fontId="1" fillId="0" borderId="5" xfId="0" applyFont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0" fontId="1" fillId="6" borderId="5" xfId="0" applyFont="1" applyFill="1" applyBorder="1" applyAlignment="1" applyProtection="1">
      <alignment horizontal="center" vertical="center"/>
      <protection hidden="1"/>
    </xf>
    <xf numFmtId="0" fontId="2" fillId="0" borderId="0" xfId="0" applyNumberFormat="1" applyFont="1" applyAlignment="1">
      <alignment horizontal="center"/>
    </xf>
    <xf numFmtId="14" fontId="1" fillId="6" borderId="0" xfId="0" applyNumberFormat="1" applyFont="1" applyFill="1" applyBorder="1" applyAlignment="1" applyProtection="1">
      <alignment horizontal="center"/>
      <protection hidden="1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4" fontId="1" fillId="6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36">
    <dxf>
      <fill>
        <patternFill>
          <bgColor theme="8" tint="0.79998168889431442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B7472A"/>
      <color rgb="FFB7472B"/>
      <color rgb="FF217346"/>
      <color rgb="FFFF2929"/>
      <color rgb="FF63BE7B"/>
      <color rgb="FFF8696B"/>
      <color rgb="FFF8F8F8"/>
      <color rgb="FFF5F5F5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mailto:messitaga1@gmail.com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Simpleicons_Places_home-front.svg" TargetMode="External"/><Relationship Id="rId2" Type="http://schemas.openxmlformats.org/officeDocument/2006/relationships/image" Target="../media/image1.png"/><Relationship Id="rId1" Type="http://schemas.openxmlformats.org/officeDocument/2006/relationships/hyperlink" Target="#HomeJan"/><Relationship Id="rId6" Type="http://schemas.openxmlformats.org/officeDocument/2006/relationships/hyperlink" Target="https://openclipart.org/detail/26733/aiga_right_arrow_bg-by-jean_victor_balin" TargetMode="External"/><Relationship Id="rId5" Type="http://schemas.openxmlformats.org/officeDocument/2006/relationships/image" Target="../media/image2.png"/><Relationship Id="rId4" Type="http://schemas.openxmlformats.org/officeDocument/2006/relationships/hyperlink" Target="#ScrollRight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Simpleicons_Places_home-front.svg" TargetMode="External"/><Relationship Id="rId2" Type="http://schemas.openxmlformats.org/officeDocument/2006/relationships/image" Target="../media/image1.png"/><Relationship Id="rId1" Type="http://schemas.openxmlformats.org/officeDocument/2006/relationships/hyperlink" Target="#HomeJan"/><Relationship Id="rId6" Type="http://schemas.openxmlformats.org/officeDocument/2006/relationships/hyperlink" Target="https://openclipart.org/detail/26733/aiga_right_arrow_bg-by-jean_victor_balin" TargetMode="External"/><Relationship Id="rId5" Type="http://schemas.openxmlformats.org/officeDocument/2006/relationships/image" Target="../media/image2.png"/><Relationship Id="rId4" Type="http://schemas.openxmlformats.org/officeDocument/2006/relationships/hyperlink" Target="#ScrollRightFeb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Simpleicons_Places_home-front.svg" TargetMode="External"/><Relationship Id="rId2" Type="http://schemas.openxmlformats.org/officeDocument/2006/relationships/image" Target="../media/image1.png"/><Relationship Id="rId1" Type="http://schemas.openxmlformats.org/officeDocument/2006/relationships/hyperlink" Target="#HomeJan"/><Relationship Id="rId6" Type="http://schemas.openxmlformats.org/officeDocument/2006/relationships/hyperlink" Target="https://openclipart.org/detail/26733/aiga_right_arrow_bg-by-jean_victor_balin" TargetMode="External"/><Relationship Id="rId5" Type="http://schemas.openxmlformats.org/officeDocument/2006/relationships/image" Target="../media/image2.png"/><Relationship Id="rId4" Type="http://schemas.openxmlformats.org/officeDocument/2006/relationships/hyperlink" Target="#ScrollRightFeb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Simpleicons_Places_home-front.svg" TargetMode="External"/><Relationship Id="rId2" Type="http://schemas.openxmlformats.org/officeDocument/2006/relationships/image" Target="../media/image1.png"/><Relationship Id="rId1" Type="http://schemas.openxmlformats.org/officeDocument/2006/relationships/hyperlink" Target="#HomeJan"/><Relationship Id="rId6" Type="http://schemas.openxmlformats.org/officeDocument/2006/relationships/hyperlink" Target="https://openclipart.org/detail/26733/aiga_right_arrow_bg-by-jean_victor_balin" TargetMode="External"/><Relationship Id="rId5" Type="http://schemas.openxmlformats.org/officeDocument/2006/relationships/image" Target="../media/image2.png"/><Relationship Id="rId4" Type="http://schemas.openxmlformats.org/officeDocument/2006/relationships/hyperlink" Target="#ScrollRightFeb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Simpleicons_Places_home-front.svg" TargetMode="External"/><Relationship Id="rId2" Type="http://schemas.openxmlformats.org/officeDocument/2006/relationships/image" Target="../media/image1.png"/><Relationship Id="rId1" Type="http://schemas.openxmlformats.org/officeDocument/2006/relationships/hyperlink" Target="#HomeJan"/><Relationship Id="rId6" Type="http://schemas.openxmlformats.org/officeDocument/2006/relationships/hyperlink" Target="https://openclipart.org/detail/26733/aiga_right_arrow_bg-by-jean_victor_balin" TargetMode="External"/><Relationship Id="rId5" Type="http://schemas.openxmlformats.org/officeDocument/2006/relationships/image" Target="../media/image2.png"/><Relationship Id="rId4" Type="http://schemas.openxmlformats.org/officeDocument/2006/relationships/hyperlink" Target="#ScrollRightFeb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Simpleicons_Places_home-front.svg" TargetMode="External"/><Relationship Id="rId2" Type="http://schemas.openxmlformats.org/officeDocument/2006/relationships/image" Target="../media/image1.png"/><Relationship Id="rId1" Type="http://schemas.openxmlformats.org/officeDocument/2006/relationships/hyperlink" Target="#HomeJan"/><Relationship Id="rId6" Type="http://schemas.openxmlformats.org/officeDocument/2006/relationships/hyperlink" Target="https://openclipart.org/detail/26733/aiga_right_arrow_bg-by-jean_victor_balin" TargetMode="External"/><Relationship Id="rId5" Type="http://schemas.openxmlformats.org/officeDocument/2006/relationships/image" Target="../media/image2.png"/><Relationship Id="rId4" Type="http://schemas.openxmlformats.org/officeDocument/2006/relationships/hyperlink" Target="#ScrollRightFeb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Simpleicons_Places_home-front.svg" TargetMode="External"/><Relationship Id="rId2" Type="http://schemas.openxmlformats.org/officeDocument/2006/relationships/image" Target="../media/image1.png"/><Relationship Id="rId1" Type="http://schemas.openxmlformats.org/officeDocument/2006/relationships/hyperlink" Target="#HomeJan"/><Relationship Id="rId6" Type="http://schemas.openxmlformats.org/officeDocument/2006/relationships/hyperlink" Target="https://openclipart.org/detail/26733/aiga_right_arrow_bg-by-jean_victor_balin" TargetMode="External"/><Relationship Id="rId5" Type="http://schemas.openxmlformats.org/officeDocument/2006/relationships/image" Target="../media/image2.png"/><Relationship Id="rId4" Type="http://schemas.openxmlformats.org/officeDocument/2006/relationships/hyperlink" Target="#ScrollRightFeb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Simpleicons_Places_home-front.svg" TargetMode="External"/><Relationship Id="rId2" Type="http://schemas.openxmlformats.org/officeDocument/2006/relationships/image" Target="../media/image1.png"/><Relationship Id="rId1" Type="http://schemas.openxmlformats.org/officeDocument/2006/relationships/hyperlink" Target="#HomeJan"/><Relationship Id="rId6" Type="http://schemas.openxmlformats.org/officeDocument/2006/relationships/hyperlink" Target="https://openclipart.org/detail/26733/aiga_right_arrow_bg-by-jean_victor_balin" TargetMode="External"/><Relationship Id="rId5" Type="http://schemas.openxmlformats.org/officeDocument/2006/relationships/image" Target="../media/image2.png"/><Relationship Id="rId4" Type="http://schemas.openxmlformats.org/officeDocument/2006/relationships/hyperlink" Target="#ScrollRightFeb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Simpleicons_Places_home-front.svg" TargetMode="External"/><Relationship Id="rId2" Type="http://schemas.openxmlformats.org/officeDocument/2006/relationships/image" Target="../media/image1.png"/><Relationship Id="rId1" Type="http://schemas.openxmlformats.org/officeDocument/2006/relationships/hyperlink" Target="#HomeJan"/><Relationship Id="rId6" Type="http://schemas.openxmlformats.org/officeDocument/2006/relationships/hyperlink" Target="https://openclipart.org/detail/26733/aiga_right_arrow_bg-by-jean_victor_balin" TargetMode="External"/><Relationship Id="rId5" Type="http://schemas.openxmlformats.org/officeDocument/2006/relationships/image" Target="../media/image2.png"/><Relationship Id="rId4" Type="http://schemas.openxmlformats.org/officeDocument/2006/relationships/hyperlink" Target="#ScrollRightFeb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Simpleicons_Places_home-front.svg" TargetMode="External"/><Relationship Id="rId2" Type="http://schemas.openxmlformats.org/officeDocument/2006/relationships/image" Target="../media/image1.png"/><Relationship Id="rId1" Type="http://schemas.openxmlformats.org/officeDocument/2006/relationships/hyperlink" Target="#HomeJan"/><Relationship Id="rId6" Type="http://schemas.openxmlformats.org/officeDocument/2006/relationships/hyperlink" Target="https://openclipart.org/detail/26733/aiga_right_arrow_bg-by-jean_victor_balin" TargetMode="External"/><Relationship Id="rId5" Type="http://schemas.openxmlformats.org/officeDocument/2006/relationships/image" Target="../media/image2.png"/><Relationship Id="rId4" Type="http://schemas.openxmlformats.org/officeDocument/2006/relationships/hyperlink" Target="#ScrollRightFeb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Simpleicons_Places_home-front.svg" TargetMode="External"/><Relationship Id="rId2" Type="http://schemas.openxmlformats.org/officeDocument/2006/relationships/image" Target="../media/image1.png"/><Relationship Id="rId1" Type="http://schemas.openxmlformats.org/officeDocument/2006/relationships/hyperlink" Target="#HomeJan"/><Relationship Id="rId6" Type="http://schemas.openxmlformats.org/officeDocument/2006/relationships/hyperlink" Target="https://openclipart.org/detail/26733/aiga_right_arrow_bg-by-jean_victor_balin" TargetMode="External"/><Relationship Id="rId5" Type="http://schemas.openxmlformats.org/officeDocument/2006/relationships/image" Target="../media/image2.png"/><Relationship Id="rId4" Type="http://schemas.openxmlformats.org/officeDocument/2006/relationships/hyperlink" Target="#ScrollRightFeb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Simpleicons_Places_home-front.svg" TargetMode="External"/><Relationship Id="rId2" Type="http://schemas.openxmlformats.org/officeDocument/2006/relationships/image" Target="../media/image1.png"/><Relationship Id="rId1" Type="http://schemas.openxmlformats.org/officeDocument/2006/relationships/hyperlink" Target="#HomeJan"/><Relationship Id="rId6" Type="http://schemas.openxmlformats.org/officeDocument/2006/relationships/hyperlink" Target="https://openclipart.org/detail/26733/aiga_right_arrow_bg-by-jean_victor_balin" TargetMode="External"/><Relationship Id="rId5" Type="http://schemas.openxmlformats.org/officeDocument/2006/relationships/image" Target="../media/image2.png"/><Relationship Id="rId4" Type="http://schemas.openxmlformats.org/officeDocument/2006/relationships/hyperlink" Target="#ScrollRightFeb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0</xdr:row>
      <xdr:rowOff>85725</xdr:rowOff>
    </xdr:from>
    <xdr:to>
      <xdr:col>13</xdr:col>
      <xdr:colOff>142875</xdr:colOff>
      <xdr:row>25</xdr:row>
      <xdr:rowOff>9525</xdr:rowOff>
    </xdr:to>
    <xdr:sp macro="" textlink="">
      <xdr:nvSpPr>
        <xdr:cNvPr id="2" name="ZoneText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F1A664-DB33-4510-936E-825FA27B1CC1}"/>
            </a:ext>
          </a:extLst>
        </xdr:cNvPr>
        <xdr:cNvSpPr txBox="1"/>
      </xdr:nvSpPr>
      <xdr:spPr>
        <a:xfrm>
          <a:off x="1657350" y="85725"/>
          <a:ext cx="8391525" cy="4686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Important</a:t>
          </a:r>
          <a:r>
            <a:rPr lang="en-US" sz="1100"/>
            <a:t>:</a:t>
          </a:r>
        </a:p>
        <a:p>
          <a:r>
            <a:rPr lang="en-US" sz="1100"/>
            <a:t>-</a:t>
          </a:r>
          <a:r>
            <a:rPr lang="en-US" sz="1100" baseline="0"/>
            <a:t> </a:t>
          </a:r>
          <a:r>
            <a:rPr lang="en-US" sz="1100"/>
            <a:t>Taper </a:t>
          </a:r>
          <a:r>
            <a:rPr lang="en-US" sz="1100" b="1"/>
            <a:t>l'Année</a:t>
          </a:r>
          <a:r>
            <a:rPr lang="en-US" sz="1100" b="1" baseline="0"/>
            <a:t> en cours </a:t>
          </a:r>
          <a:r>
            <a:rPr lang="en-US" sz="1100" baseline="0"/>
            <a:t>dans la </a:t>
          </a:r>
          <a:r>
            <a:rPr lang="en-US" sz="1100" b="1" baseline="0"/>
            <a:t>cellule</a:t>
          </a:r>
          <a:r>
            <a:rPr lang="en-US" sz="1100" baseline="0"/>
            <a:t> </a:t>
          </a:r>
          <a:r>
            <a:rPr lang="en-US" sz="1100" b="1" baseline="0"/>
            <a:t>BQ6</a:t>
          </a:r>
          <a:r>
            <a:rPr lang="en-US" sz="1100" baseline="0"/>
            <a:t> de la feuille "</a:t>
          </a:r>
          <a:r>
            <a:rPr lang="en-US" sz="1100" b="1" baseline="0"/>
            <a:t>Janvier</a:t>
          </a:r>
          <a:r>
            <a:rPr lang="en-US" sz="1100" baseline="0"/>
            <a:t>". Il n'est pas la peine de la retaper, elle est générée automatiquement dans les autres feuilles;</a:t>
          </a:r>
        </a:p>
        <a:p>
          <a:r>
            <a:rPr lang="en-US" sz="1100" baseline="0"/>
            <a:t>- Cliquer sur "</a:t>
          </a:r>
          <a:r>
            <a:rPr lang="en-US" sz="1100" b="1" baseline="0"/>
            <a:t>Masquer col</a:t>
          </a:r>
          <a:r>
            <a:rPr lang="en-US" sz="1100" baseline="0"/>
            <a:t>." pour masquer les colonnes allant du </a:t>
          </a:r>
          <a:r>
            <a:rPr lang="en-US" sz="1100" b="1" baseline="0"/>
            <a:t>1er au 31</a:t>
          </a:r>
          <a:r>
            <a:rPr lang="en-US" sz="1100" baseline="0"/>
            <a:t> du mois;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Cliquer sur "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Afficher col.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 pour afficher les colonnes allant du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1er au 31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du mois;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Cliquer sur "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Les As de l'Absence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 pour connaître les étudiants les plus absentéistes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triés par "TNJ"(Total d'heures Non Justifiées)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;</a:t>
          </a:r>
          <a:endParaRPr lang="en-US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Cliquer sur "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Nom de A à Z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 pour retrier les étudiants par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ordre Alphabétique (Colonne Nom);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Cliquer sur le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bouton avec l'icone de la maison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pour revenir à la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partie supèrieure-gauche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la feuille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n'importe où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sur la feuille de calcul;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Cliquer sur le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bouton avec la flêche de droite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pour aller à la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fin du tableau d'enrengistrement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;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Cliquer sur "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Imprimer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 pour imprimer le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Bilan Mensuel des Absences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; ce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à n'importe quel moment du mois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Choisir l'emplacement sur votre disque dur de la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copie digitale en PDF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imprimée. On peut transfèrer le fichier PDF directement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 mail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ou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l'imprimer sur papier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Attention!!!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solidFill>
                <a:sysClr val="windowText" lastClr="000000"/>
              </a:solidFill>
              <a:effectLst/>
            </a:rPr>
            <a:t>Les</a:t>
          </a:r>
          <a:r>
            <a:rPr lang="en-US" baseline="0">
              <a:solidFill>
                <a:sysClr val="windowText" lastClr="000000"/>
              </a:solidFill>
              <a:effectLst/>
            </a:rPr>
            <a:t> feuilles de calcul de ce classeur sont </a:t>
          </a:r>
          <a:r>
            <a:rPr lang="en-US" b="1" baseline="0">
              <a:solidFill>
                <a:sysClr val="windowText" lastClr="000000"/>
              </a:solidFill>
              <a:effectLst/>
            </a:rPr>
            <a:t>protégées</a:t>
          </a:r>
          <a:r>
            <a:rPr lang="en-US" baseline="0">
              <a:solidFill>
                <a:sysClr val="windowText" lastClr="000000"/>
              </a:solidFill>
              <a:effectLst/>
            </a:rPr>
            <a:t>. </a:t>
          </a:r>
          <a:r>
            <a:rPr lang="en-US" b="1" u="sng" baseline="0">
              <a:solidFill>
                <a:sysClr val="windowText" lastClr="000000"/>
              </a:solidFill>
              <a:effectLst/>
            </a:rPr>
            <a:t>Ne changer rien sur la structure ni sur le contenu au risque de compromettre le bon fonctionnement de l'Application</a:t>
          </a:r>
          <a:r>
            <a:rPr lang="en-US" baseline="0">
              <a:solidFill>
                <a:sysClr val="windowText" lastClr="000000"/>
              </a:solidFill>
              <a:effectLst/>
            </a:rPr>
            <a:t>. Ne </a:t>
          </a:r>
          <a:r>
            <a:rPr lang="en-US" b="1" baseline="0">
              <a:solidFill>
                <a:sysClr val="windowText" lastClr="000000"/>
              </a:solidFill>
              <a:effectLst/>
            </a:rPr>
            <a:t>modifier que la zone réservée </a:t>
          </a:r>
          <a:r>
            <a:rPr lang="en-US" baseline="0">
              <a:solidFill>
                <a:sysClr val="windowText" lastClr="000000"/>
              </a:solidFill>
              <a:effectLst/>
            </a:rPr>
            <a:t>pour entrer les </a:t>
          </a:r>
          <a:r>
            <a:rPr lang="en-US" b="1" baseline="0">
              <a:solidFill>
                <a:sysClr val="windowText" lastClr="000000"/>
              </a:solidFill>
              <a:effectLst/>
            </a:rPr>
            <a:t>Heures d'absence</a:t>
          </a:r>
          <a:r>
            <a:rPr lang="en-US" b="1" baseline="0">
              <a:solidFill>
                <a:srgbClr val="FF0000"/>
              </a:solidFill>
              <a:effectLst/>
            </a:rPr>
            <a:t>(A) </a:t>
          </a:r>
          <a:r>
            <a:rPr lang="en-US" baseline="0">
              <a:solidFill>
                <a:sysClr val="windowText" lastClr="000000"/>
              </a:solidFill>
              <a:effectLst/>
            </a:rPr>
            <a:t>et les </a:t>
          </a:r>
          <a:r>
            <a:rPr lang="en-US" b="1" baseline="0">
              <a:solidFill>
                <a:sysClr val="windowText" lastClr="000000"/>
              </a:solidFill>
              <a:effectLst/>
            </a:rPr>
            <a:t>Heures justifiées</a:t>
          </a:r>
          <a:r>
            <a:rPr lang="en-US" b="1" baseline="0">
              <a:solidFill>
                <a:schemeClr val="accent4">
                  <a:lumMod val="75000"/>
                </a:schemeClr>
              </a:solidFill>
              <a:effectLst/>
            </a:rPr>
            <a:t>(J) </a:t>
          </a:r>
          <a:r>
            <a:rPr lang="en-US" b="0" baseline="0">
              <a:solidFill>
                <a:sysClr val="windowText" lastClr="000000"/>
              </a:solidFill>
              <a:effectLst/>
            </a:rPr>
            <a:t>qui correspond à la </a:t>
          </a:r>
          <a:r>
            <a:rPr lang="en-US" b="1" baseline="0">
              <a:solidFill>
                <a:sysClr val="windowText" lastClr="000000"/>
              </a:solidFill>
              <a:effectLst/>
            </a:rPr>
            <a:t>zone allant du 1er au 31 </a:t>
          </a:r>
          <a:r>
            <a:rPr lang="en-US" b="0" baseline="0">
              <a:solidFill>
                <a:sysClr val="windowText" lastClr="000000"/>
              </a:solidFill>
              <a:effectLst/>
            </a:rPr>
            <a:t>de chaque mois.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b="0" baseline="0">
            <a:solidFill>
              <a:sysClr val="windowText" lastClr="000000"/>
            </a:solidFill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b="0" baseline="0">
              <a:solidFill>
                <a:sysClr val="windowText" lastClr="000000"/>
              </a:solidFill>
              <a:effectLst/>
            </a:rPr>
            <a:t>On peut </a:t>
          </a:r>
          <a:r>
            <a:rPr lang="en-US" b="1" baseline="0">
              <a:solidFill>
                <a:sysClr val="windowText" lastClr="000000"/>
              </a:solidFill>
              <a:effectLst/>
            </a:rPr>
            <a:t>personaliser le nom de la classe </a:t>
          </a:r>
          <a:r>
            <a:rPr lang="en-US" b="0" baseline="0">
              <a:solidFill>
                <a:sysClr val="windowText" lastClr="000000"/>
              </a:solidFill>
              <a:effectLst/>
            </a:rPr>
            <a:t>en tapant le nom dans la </a:t>
          </a:r>
          <a:r>
            <a:rPr lang="en-US" b="1" baseline="0">
              <a:solidFill>
                <a:sysClr val="windowText" lastClr="000000"/>
              </a:solidFill>
              <a:effectLst/>
            </a:rPr>
            <a:t>cellule BN6 </a:t>
          </a:r>
          <a:r>
            <a:rPr lang="en-US" b="0" baseline="0">
              <a:solidFill>
                <a:sysClr val="windowText" lastClr="000000"/>
              </a:solidFill>
              <a:effectLst/>
            </a:rPr>
            <a:t>de la feuille de calcul "</a:t>
          </a:r>
          <a:r>
            <a:rPr lang="en-US" b="1" baseline="0">
              <a:solidFill>
                <a:sysClr val="windowText" lastClr="000000"/>
              </a:solidFill>
              <a:effectLst/>
            </a:rPr>
            <a:t>Janvier</a:t>
          </a:r>
          <a:r>
            <a:rPr lang="en-US" b="0" baseline="0">
              <a:solidFill>
                <a:sysClr val="windowText" lastClr="000000"/>
              </a:solidFill>
              <a:effectLst/>
            </a:rPr>
            <a:t>". Les autres feuilles seront automatiquement renseignées.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b="0" baseline="0">
            <a:solidFill>
              <a:sysClr val="windowText" lastClr="000000"/>
            </a:solidFill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b="0" baseline="0">
              <a:solidFill>
                <a:sysClr val="windowText" lastClr="000000"/>
              </a:solidFill>
              <a:effectLst/>
            </a:rPr>
            <a:t>Si vous </a:t>
          </a:r>
          <a:r>
            <a:rPr lang="en-US" b="1" baseline="0">
              <a:solidFill>
                <a:sysClr val="windowText" lastClr="000000"/>
              </a:solidFill>
              <a:effectLst/>
            </a:rPr>
            <a:t>coller les prénoms et noms des étudiants </a:t>
          </a:r>
          <a:r>
            <a:rPr lang="en-US" b="0" baseline="0">
              <a:solidFill>
                <a:sysClr val="windowText" lastClr="000000"/>
              </a:solidFill>
              <a:effectLst/>
            </a:rPr>
            <a:t>dans les colonnes B et C, rappeler de </a:t>
          </a:r>
          <a:r>
            <a:rPr lang="en-US" b="1" baseline="0">
              <a:solidFill>
                <a:sysClr val="windowText" lastClr="000000"/>
              </a:solidFill>
              <a:effectLst/>
            </a:rPr>
            <a:t>choisir l'option coller les Valeurs(V) </a:t>
          </a:r>
          <a:r>
            <a:rPr lang="en-US" b="0" baseline="0">
              <a:solidFill>
                <a:sysClr val="windowText" lastClr="000000"/>
              </a:solidFill>
              <a:effectLst/>
            </a:rPr>
            <a:t>pour ne pas effacer la mise en forme(les </a:t>
          </a:r>
          <a:r>
            <a:rPr lang="en-US" b="1" baseline="0">
              <a:solidFill>
                <a:sysClr val="windowText" lastClr="000000"/>
              </a:solidFill>
              <a:effectLst/>
            </a:rPr>
            <a:t>bandes bleues permettent une meilleure visibilité en distingant les lignes et donc une meilleure expérience d'enregistrement des données</a:t>
          </a:r>
          <a:r>
            <a:rPr lang="en-US" b="0" baseline="0">
              <a:solidFill>
                <a:sysClr val="windowText" lastClr="000000"/>
              </a:solidFill>
              <a:effectLst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b="0" baseline="0">
            <a:solidFill>
              <a:sysClr val="windowText" lastClr="000000"/>
            </a:solidFill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b="0" baseline="0">
              <a:solidFill>
                <a:sysClr val="windowText" lastClr="000000"/>
              </a:solidFill>
              <a:effectLst/>
            </a:rPr>
            <a:t>Pour toute autre question, veuillez </a:t>
          </a:r>
          <a:r>
            <a:rPr lang="en-US" b="1" baseline="0">
              <a:solidFill>
                <a:sysClr val="windowText" lastClr="000000"/>
              </a:solidFill>
              <a:effectLst/>
            </a:rPr>
            <a:t>contacter le concepteur </a:t>
          </a:r>
          <a:r>
            <a:rPr lang="en-US" b="0" baseline="0">
              <a:solidFill>
                <a:sysClr val="windowText" lastClr="000000"/>
              </a:solidFill>
              <a:effectLst/>
            </a:rPr>
            <a:t>de cette application sur le email: </a:t>
          </a:r>
          <a:r>
            <a:rPr lang="en-US" b="1" baseline="0">
              <a:solidFill>
                <a:schemeClr val="accent1"/>
              </a:solidFill>
              <a:effectLst/>
            </a:rPr>
            <a:t>messitaga1@gmail.com </a:t>
          </a:r>
          <a:r>
            <a:rPr lang="en-US" b="0" baseline="0">
              <a:solidFill>
                <a:sysClr val="windowText" lastClr="000000"/>
              </a:solidFill>
              <a:effectLst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b="0">
            <a:solidFill>
              <a:sysClr val="windowText" lastClr="000000"/>
            </a:solidFill>
            <a:effectLst/>
          </a:endParaRPr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11942</xdr:colOff>
      <xdr:row>0</xdr:row>
      <xdr:rowOff>45245</xdr:rowOff>
    </xdr:from>
    <xdr:to>
      <xdr:col>1</xdr:col>
      <xdr:colOff>1177254</xdr:colOff>
      <xdr:row>1</xdr:row>
      <xdr:rowOff>176213</xdr:rowOff>
    </xdr:to>
    <xdr:sp macro="[0]!Hid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BDBB3D7-78F9-4048-8A8D-AEFF23C983F9}"/>
            </a:ext>
          </a:extLst>
        </xdr:cNvPr>
        <xdr:cNvSpPr/>
      </xdr:nvSpPr>
      <xdr:spPr>
        <a:xfrm>
          <a:off x="11942" y="45245"/>
          <a:ext cx="1327237" cy="32146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Masquer</a:t>
          </a:r>
          <a:r>
            <a:rPr lang="en-US" sz="1600" b="1" baseline="0">
              <a:solidFill>
                <a:schemeClr val="bg1"/>
              </a:solidFill>
            </a:rPr>
            <a:t> col.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</xdr:col>
      <xdr:colOff>1212376</xdr:colOff>
      <xdr:row>0</xdr:row>
      <xdr:rowOff>45245</xdr:rowOff>
    </xdr:from>
    <xdr:to>
      <xdr:col>2</xdr:col>
      <xdr:colOff>324758</xdr:colOff>
      <xdr:row>1</xdr:row>
      <xdr:rowOff>176213</xdr:rowOff>
    </xdr:to>
    <xdr:sp macro="[0]!Unhid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B4A1E0D-8E0A-4FA5-B731-F5CA4913860F}"/>
            </a:ext>
          </a:extLst>
        </xdr:cNvPr>
        <xdr:cNvSpPr/>
      </xdr:nvSpPr>
      <xdr:spPr>
        <a:xfrm>
          <a:off x="1374301" y="45245"/>
          <a:ext cx="1260000" cy="32146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Afficher</a:t>
          </a:r>
          <a:r>
            <a:rPr lang="en-US" sz="1600" b="1" baseline="0">
              <a:solidFill>
                <a:schemeClr val="bg1"/>
              </a:solidFill>
            </a:rPr>
            <a:t> col.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359876</xdr:colOff>
      <xdr:row>0</xdr:row>
      <xdr:rowOff>45245</xdr:rowOff>
    </xdr:from>
    <xdr:to>
      <xdr:col>2</xdr:col>
      <xdr:colOff>1367876</xdr:colOff>
      <xdr:row>1</xdr:row>
      <xdr:rowOff>176213</xdr:rowOff>
    </xdr:to>
    <xdr:sp macro="[0]!PrintJan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CEBC64B-9085-47A5-A7E5-77B5D15DD69C}"/>
            </a:ext>
          </a:extLst>
        </xdr:cNvPr>
        <xdr:cNvSpPr/>
      </xdr:nvSpPr>
      <xdr:spPr>
        <a:xfrm>
          <a:off x="2669419" y="45245"/>
          <a:ext cx="1008000" cy="32146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Imprimer</a:t>
          </a:r>
        </a:p>
      </xdr:txBody>
    </xdr:sp>
    <xdr:clientData/>
  </xdr:twoCellAnchor>
  <xdr:twoCellAnchor editAs="absolute">
    <xdr:from>
      <xdr:col>2</xdr:col>
      <xdr:colOff>359429</xdr:colOff>
      <xdr:row>2</xdr:row>
      <xdr:rowOff>54775</xdr:rowOff>
    </xdr:from>
    <xdr:to>
      <xdr:col>2</xdr:col>
      <xdr:colOff>791429</xdr:colOff>
      <xdr:row>3</xdr:row>
      <xdr:rowOff>185744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32A944A4-DB60-4642-9A5F-7EA95FDD21CE}"/>
            </a:ext>
          </a:extLst>
        </xdr:cNvPr>
        <xdr:cNvGrpSpPr/>
      </xdr:nvGrpSpPr>
      <xdr:grpSpPr>
        <a:xfrm>
          <a:off x="2664479" y="435775"/>
          <a:ext cx="432000" cy="321469"/>
          <a:chOff x="3719545" y="54771"/>
          <a:chExt cx="432000" cy="321468"/>
        </a:xfrm>
      </xdr:grpSpPr>
      <xdr:sp macro="" textlink="">
        <xdr:nvSpPr>
          <xdr:cNvPr id="6" name="Rectangle : coins arrondi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1698386-F5BF-45EB-863C-4ADDC1D691D3}"/>
              </a:ext>
            </a:extLst>
          </xdr:cNvPr>
          <xdr:cNvSpPr/>
        </xdr:nvSpPr>
        <xdr:spPr>
          <a:xfrm>
            <a:off x="3719545" y="54771"/>
            <a:ext cx="432000" cy="321468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400" b="1">
              <a:solidFill>
                <a:schemeClr val="bg1"/>
              </a:solidFill>
            </a:endParaRPr>
          </a:p>
        </xdr:txBody>
      </xdr:sp>
      <xdr:pic>
        <xdr:nvPicPr>
          <xdr:cNvPr id="7" name="Image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A9A1C65-BA50-4C48-9658-CEA9FCEAE9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3"/>
              </a:ext>
            </a:extLst>
          </a:blip>
          <a:stretch>
            <a:fillRect/>
          </a:stretch>
        </xdr:blipFill>
        <xdr:spPr>
          <a:xfrm>
            <a:off x="3827545" y="130971"/>
            <a:ext cx="216000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932681</xdr:colOff>
      <xdr:row>2</xdr:row>
      <xdr:rowOff>59723</xdr:rowOff>
    </xdr:from>
    <xdr:to>
      <xdr:col>2</xdr:col>
      <xdr:colOff>1364681</xdr:colOff>
      <xdr:row>4</xdr:row>
      <xdr:rowOff>4521</xdr:rowOff>
    </xdr:to>
    <xdr:grpSp>
      <xdr:nvGrpSpPr>
        <xdr:cNvPr id="8" name="Group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7B63E3F-8738-486E-9214-CA23C44D23FD}"/>
            </a:ext>
          </a:extLst>
        </xdr:cNvPr>
        <xdr:cNvGrpSpPr/>
      </xdr:nvGrpSpPr>
      <xdr:grpSpPr>
        <a:xfrm>
          <a:off x="3237731" y="440723"/>
          <a:ext cx="432000" cy="325798"/>
          <a:chOff x="2869390" y="557069"/>
          <a:chExt cx="432000" cy="325356"/>
        </a:xfrm>
      </xdr:grpSpPr>
      <xdr:sp macro="" textlink="">
        <xdr:nvSpPr>
          <xdr:cNvPr id="9" name="Rectangle : coins arrondis 8">
            <a:extLst>
              <a:ext uri="{FF2B5EF4-FFF2-40B4-BE49-F238E27FC236}">
                <a16:creationId xmlns:a16="http://schemas.microsoft.com/office/drawing/2014/main" id="{481F6692-3D6C-4200-8E87-6AC240660515}"/>
              </a:ext>
            </a:extLst>
          </xdr:cNvPr>
          <xdr:cNvSpPr/>
        </xdr:nvSpPr>
        <xdr:spPr>
          <a:xfrm>
            <a:off x="2869390" y="557069"/>
            <a:ext cx="432000" cy="325356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400" b="1">
              <a:solidFill>
                <a:schemeClr val="bg1"/>
              </a:solidFill>
            </a:endParaRPr>
          </a:p>
        </xdr:txBody>
      </xdr:sp>
      <xdr:pic>
        <xdr:nvPicPr>
          <xdr:cNvPr id="10" name="Image 9">
            <a:extLst>
              <a:ext uri="{FF2B5EF4-FFF2-40B4-BE49-F238E27FC236}">
                <a16:creationId xmlns:a16="http://schemas.microsoft.com/office/drawing/2014/main" id="{9B6BB132-E348-45F1-8AE0-8482C39701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6"/>
              </a:ext>
            </a:extLst>
          </a:blip>
          <a:stretch>
            <a:fillRect/>
          </a:stretch>
        </xdr:blipFill>
        <xdr:spPr>
          <a:xfrm>
            <a:off x="2977390" y="631185"/>
            <a:ext cx="216000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11942</xdr:colOff>
      <xdr:row>2</xdr:row>
      <xdr:rowOff>64295</xdr:rowOff>
    </xdr:from>
    <xdr:to>
      <xdr:col>1</xdr:col>
      <xdr:colOff>1295400</xdr:colOff>
      <xdr:row>4</xdr:row>
      <xdr:rowOff>4763</xdr:rowOff>
    </xdr:to>
    <xdr:sp macro="[0]!Sort_Descendant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7556004C-8CB2-4A99-BD13-54FA5AF07723}"/>
            </a:ext>
          </a:extLst>
        </xdr:cNvPr>
        <xdr:cNvSpPr/>
      </xdr:nvSpPr>
      <xdr:spPr>
        <a:xfrm>
          <a:off x="11942" y="445295"/>
          <a:ext cx="1445383" cy="321468"/>
        </a:xfrm>
        <a:prstGeom prst="roundRect">
          <a:avLst/>
        </a:prstGeom>
        <a:solidFill>
          <a:srgbClr val="FF2929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Les As de l'Absence</a:t>
          </a:r>
        </a:p>
      </xdr:txBody>
    </xdr:sp>
    <xdr:clientData/>
  </xdr:twoCellAnchor>
  <xdr:twoCellAnchor>
    <xdr:from>
      <xdr:col>1</xdr:col>
      <xdr:colOff>1343025</xdr:colOff>
      <xdr:row>2</xdr:row>
      <xdr:rowOff>66675</xdr:rowOff>
    </xdr:from>
    <xdr:to>
      <xdr:col>2</xdr:col>
      <xdr:colOff>314325</xdr:colOff>
      <xdr:row>4</xdr:row>
      <xdr:rowOff>0</xdr:rowOff>
    </xdr:to>
    <xdr:sp macro="[0]!Sort_Names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BD44CB62-B36F-4D10-947B-D1314A0342D5}"/>
            </a:ext>
          </a:extLst>
        </xdr:cNvPr>
        <xdr:cNvSpPr/>
      </xdr:nvSpPr>
      <xdr:spPr>
        <a:xfrm>
          <a:off x="1504950" y="447675"/>
          <a:ext cx="1114425" cy="314325"/>
        </a:xfrm>
        <a:prstGeom prst="roundRect">
          <a:avLst/>
        </a:prstGeom>
        <a:solidFill>
          <a:srgbClr val="217346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/>
            <a:t>Nom de A à B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11942</xdr:colOff>
      <xdr:row>0</xdr:row>
      <xdr:rowOff>45245</xdr:rowOff>
    </xdr:from>
    <xdr:to>
      <xdr:col>1</xdr:col>
      <xdr:colOff>1177254</xdr:colOff>
      <xdr:row>1</xdr:row>
      <xdr:rowOff>176213</xdr:rowOff>
    </xdr:to>
    <xdr:sp macro="[0]!Hid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A046EFF-CC31-4546-8A52-CEF3F8FEE375}"/>
            </a:ext>
          </a:extLst>
        </xdr:cNvPr>
        <xdr:cNvSpPr/>
      </xdr:nvSpPr>
      <xdr:spPr>
        <a:xfrm>
          <a:off x="11942" y="45245"/>
          <a:ext cx="1327237" cy="32146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Masquer</a:t>
          </a:r>
          <a:r>
            <a:rPr lang="en-US" sz="1600" b="1" baseline="0">
              <a:solidFill>
                <a:schemeClr val="bg1"/>
              </a:solidFill>
            </a:rPr>
            <a:t> col.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</xdr:col>
      <xdr:colOff>1212376</xdr:colOff>
      <xdr:row>0</xdr:row>
      <xdr:rowOff>45245</xdr:rowOff>
    </xdr:from>
    <xdr:to>
      <xdr:col>2</xdr:col>
      <xdr:colOff>324758</xdr:colOff>
      <xdr:row>1</xdr:row>
      <xdr:rowOff>176213</xdr:rowOff>
    </xdr:to>
    <xdr:sp macro="[0]!Unhid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9F1116D2-36AC-474F-9A25-629608978DFB}"/>
            </a:ext>
          </a:extLst>
        </xdr:cNvPr>
        <xdr:cNvSpPr/>
      </xdr:nvSpPr>
      <xdr:spPr>
        <a:xfrm>
          <a:off x="1374301" y="45245"/>
          <a:ext cx="1255507" cy="32146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Afficher</a:t>
          </a:r>
          <a:r>
            <a:rPr lang="en-US" sz="1600" b="1" baseline="0">
              <a:solidFill>
                <a:schemeClr val="bg1"/>
              </a:solidFill>
            </a:rPr>
            <a:t> col.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359876</xdr:colOff>
      <xdr:row>0</xdr:row>
      <xdr:rowOff>45245</xdr:rowOff>
    </xdr:from>
    <xdr:to>
      <xdr:col>2</xdr:col>
      <xdr:colOff>1367876</xdr:colOff>
      <xdr:row>1</xdr:row>
      <xdr:rowOff>176213</xdr:rowOff>
    </xdr:to>
    <xdr:sp macro="[0]!PrintFeb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F11DFC42-7BA7-4FC3-BC5D-2FA4C9ED814B}"/>
            </a:ext>
          </a:extLst>
        </xdr:cNvPr>
        <xdr:cNvSpPr/>
      </xdr:nvSpPr>
      <xdr:spPr>
        <a:xfrm>
          <a:off x="2664926" y="45245"/>
          <a:ext cx="1008000" cy="32146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Imprimer</a:t>
          </a:r>
        </a:p>
      </xdr:txBody>
    </xdr:sp>
    <xdr:clientData/>
  </xdr:twoCellAnchor>
  <xdr:twoCellAnchor editAs="absolute">
    <xdr:from>
      <xdr:col>2</xdr:col>
      <xdr:colOff>359429</xdr:colOff>
      <xdr:row>2</xdr:row>
      <xdr:rowOff>54775</xdr:rowOff>
    </xdr:from>
    <xdr:to>
      <xdr:col>2</xdr:col>
      <xdr:colOff>791429</xdr:colOff>
      <xdr:row>3</xdr:row>
      <xdr:rowOff>185744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3A2F6E4B-A66D-4275-BBBE-20D4CC26682D}"/>
            </a:ext>
          </a:extLst>
        </xdr:cNvPr>
        <xdr:cNvGrpSpPr/>
      </xdr:nvGrpSpPr>
      <xdr:grpSpPr>
        <a:xfrm>
          <a:off x="2664479" y="435775"/>
          <a:ext cx="432000" cy="321469"/>
          <a:chOff x="3719545" y="54771"/>
          <a:chExt cx="432000" cy="321468"/>
        </a:xfrm>
      </xdr:grpSpPr>
      <xdr:sp macro="" textlink="">
        <xdr:nvSpPr>
          <xdr:cNvPr id="6" name="Rectangle : coins arrondi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6886E47-3D70-427E-A8F4-783DE3F7C6DE}"/>
              </a:ext>
            </a:extLst>
          </xdr:cNvPr>
          <xdr:cNvSpPr/>
        </xdr:nvSpPr>
        <xdr:spPr>
          <a:xfrm>
            <a:off x="3719545" y="54771"/>
            <a:ext cx="432000" cy="321468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400" b="1">
              <a:solidFill>
                <a:schemeClr val="bg1"/>
              </a:solidFill>
            </a:endParaRPr>
          </a:p>
        </xdr:txBody>
      </xdr:sp>
      <xdr:pic>
        <xdr:nvPicPr>
          <xdr:cNvPr id="7" name="Image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567C4CE-9A38-40E0-8023-768D0ADDBE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3"/>
              </a:ext>
            </a:extLst>
          </a:blip>
          <a:stretch>
            <a:fillRect/>
          </a:stretch>
        </xdr:blipFill>
        <xdr:spPr>
          <a:xfrm>
            <a:off x="3827545" y="130971"/>
            <a:ext cx="216000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932681</xdr:colOff>
      <xdr:row>2</xdr:row>
      <xdr:rowOff>69248</xdr:rowOff>
    </xdr:from>
    <xdr:to>
      <xdr:col>2</xdr:col>
      <xdr:colOff>1364681</xdr:colOff>
      <xdr:row>4</xdr:row>
      <xdr:rowOff>14046</xdr:rowOff>
    </xdr:to>
    <xdr:grpSp>
      <xdr:nvGrpSpPr>
        <xdr:cNvPr id="8" name="Group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6F9CEBF-BE98-4EFB-BBB1-70775A33A4FF}"/>
            </a:ext>
          </a:extLst>
        </xdr:cNvPr>
        <xdr:cNvGrpSpPr/>
      </xdr:nvGrpSpPr>
      <xdr:grpSpPr>
        <a:xfrm>
          <a:off x="3237731" y="450248"/>
          <a:ext cx="432000" cy="325798"/>
          <a:chOff x="2869390" y="557069"/>
          <a:chExt cx="432000" cy="325356"/>
        </a:xfrm>
      </xdr:grpSpPr>
      <xdr:sp macro="" textlink="">
        <xdr:nvSpPr>
          <xdr:cNvPr id="9" name="Rectangle : coins arrondis 8">
            <a:extLst>
              <a:ext uri="{FF2B5EF4-FFF2-40B4-BE49-F238E27FC236}">
                <a16:creationId xmlns:a16="http://schemas.microsoft.com/office/drawing/2014/main" id="{51C8C4C7-6412-444B-8B95-27905A3A5655}"/>
              </a:ext>
            </a:extLst>
          </xdr:cNvPr>
          <xdr:cNvSpPr/>
        </xdr:nvSpPr>
        <xdr:spPr>
          <a:xfrm>
            <a:off x="2869390" y="557069"/>
            <a:ext cx="432000" cy="325356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400" b="1">
              <a:solidFill>
                <a:schemeClr val="bg1"/>
              </a:solidFill>
            </a:endParaRPr>
          </a:p>
        </xdr:txBody>
      </xdr:sp>
      <xdr:pic>
        <xdr:nvPicPr>
          <xdr:cNvPr id="10" name="Image 9">
            <a:extLst>
              <a:ext uri="{FF2B5EF4-FFF2-40B4-BE49-F238E27FC236}">
                <a16:creationId xmlns:a16="http://schemas.microsoft.com/office/drawing/2014/main" id="{A59039B7-AB34-45D6-8589-C0C746F3ED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6"/>
              </a:ext>
            </a:extLst>
          </a:blip>
          <a:stretch>
            <a:fillRect/>
          </a:stretch>
        </xdr:blipFill>
        <xdr:spPr>
          <a:xfrm>
            <a:off x="2977390" y="631185"/>
            <a:ext cx="216000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11942</xdr:colOff>
      <xdr:row>2</xdr:row>
      <xdr:rowOff>64295</xdr:rowOff>
    </xdr:from>
    <xdr:to>
      <xdr:col>1</xdr:col>
      <xdr:colOff>1295400</xdr:colOff>
      <xdr:row>4</xdr:row>
      <xdr:rowOff>4763</xdr:rowOff>
    </xdr:to>
    <xdr:sp macro="[0]!Sort_Descendant_Feb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FA26478C-387F-4679-982B-AC1A50FF0F01}"/>
            </a:ext>
          </a:extLst>
        </xdr:cNvPr>
        <xdr:cNvSpPr/>
      </xdr:nvSpPr>
      <xdr:spPr>
        <a:xfrm>
          <a:off x="11942" y="445295"/>
          <a:ext cx="1445383" cy="321468"/>
        </a:xfrm>
        <a:prstGeom prst="roundRect">
          <a:avLst/>
        </a:prstGeom>
        <a:solidFill>
          <a:srgbClr val="FF2929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Les As de l'Absence</a:t>
          </a:r>
        </a:p>
      </xdr:txBody>
    </xdr:sp>
    <xdr:clientData/>
  </xdr:twoCellAnchor>
  <xdr:twoCellAnchor>
    <xdr:from>
      <xdr:col>1</xdr:col>
      <xdr:colOff>1343025</xdr:colOff>
      <xdr:row>2</xdr:row>
      <xdr:rowOff>66675</xdr:rowOff>
    </xdr:from>
    <xdr:to>
      <xdr:col>2</xdr:col>
      <xdr:colOff>314325</xdr:colOff>
      <xdr:row>4</xdr:row>
      <xdr:rowOff>0</xdr:rowOff>
    </xdr:to>
    <xdr:sp macro="[0]!Sort_Names_Feb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68800A8B-1C0E-49AC-BA5C-A7E5E43DC24A}"/>
            </a:ext>
          </a:extLst>
        </xdr:cNvPr>
        <xdr:cNvSpPr/>
      </xdr:nvSpPr>
      <xdr:spPr>
        <a:xfrm>
          <a:off x="1504950" y="447675"/>
          <a:ext cx="1114425" cy="314325"/>
        </a:xfrm>
        <a:prstGeom prst="roundRect">
          <a:avLst/>
        </a:prstGeom>
        <a:solidFill>
          <a:srgbClr val="217346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/>
            <a:t>Nom de A à 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11942</xdr:colOff>
      <xdr:row>0</xdr:row>
      <xdr:rowOff>45245</xdr:rowOff>
    </xdr:from>
    <xdr:to>
      <xdr:col>1</xdr:col>
      <xdr:colOff>1177254</xdr:colOff>
      <xdr:row>1</xdr:row>
      <xdr:rowOff>176213</xdr:rowOff>
    </xdr:to>
    <xdr:sp macro="[0]!Hid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64547CAB-F5AB-4532-9EFF-6A8B86606394}"/>
            </a:ext>
          </a:extLst>
        </xdr:cNvPr>
        <xdr:cNvSpPr/>
      </xdr:nvSpPr>
      <xdr:spPr>
        <a:xfrm>
          <a:off x="11942" y="45245"/>
          <a:ext cx="1327237" cy="32146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Masquer</a:t>
          </a:r>
          <a:r>
            <a:rPr lang="en-US" sz="1600" b="1" baseline="0">
              <a:solidFill>
                <a:schemeClr val="bg1"/>
              </a:solidFill>
            </a:rPr>
            <a:t> col.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</xdr:col>
      <xdr:colOff>1212376</xdr:colOff>
      <xdr:row>0</xdr:row>
      <xdr:rowOff>45245</xdr:rowOff>
    </xdr:from>
    <xdr:to>
      <xdr:col>2</xdr:col>
      <xdr:colOff>324758</xdr:colOff>
      <xdr:row>1</xdr:row>
      <xdr:rowOff>176213</xdr:rowOff>
    </xdr:to>
    <xdr:sp macro="[0]!Unhid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9A20DD00-4A63-4083-8D49-C6E5BCB6F8B1}"/>
            </a:ext>
          </a:extLst>
        </xdr:cNvPr>
        <xdr:cNvSpPr/>
      </xdr:nvSpPr>
      <xdr:spPr>
        <a:xfrm>
          <a:off x="1374301" y="45245"/>
          <a:ext cx="1255507" cy="32146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Afficher</a:t>
          </a:r>
          <a:r>
            <a:rPr lang="en-US" sz="1600" b="1" baseline="0">
              <a:solidFill>
                <a:schemeClr val="bg1"/>
              </a:solidFill>
            </a:rPr>
            <a:t> col.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359876</xdr:colOff>
      <xdr:row>0</xdr:row>
      <xdr:rowOff>45245</xdr:rowOff>
    </xdr:from>
    <xdr:to>
      <xdr:col>2</xdr:col>
      <xdr:colOff>1367876</xdr:colOff>
      <xdr:row>1</xdr:row>
      <xdr:rowOff>176213</xdr:rowOff>
    </xdr:to>
    <xdr:sp macro="[0]!PrintMar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A0585942-886B-4FDB-8FFC-81A4FF5C0B1F}"/>
            </a:ext>
          </a:extLst>
        </xdr:cNvPr>
        <xdr:cNvSpPr/>
      </xdr:nvSpPr>
      <xdr:spPr>
        <a:xfrm>
          <a:off x="2664926" y="45245"/>
          <a:ext cx="1008000" cy="32146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Imprimer</a:t>
          </a:r>
        </a:p>
      </xdr:txBody>
    </xdr:sp>
    <xdr:clientData/>
  </xdr:twoCellAnchor>
  <xdr:twoCellAnchor editAs="absolute">
    <xdr:from>
      <xdr:col>2</xdr:col>
      <xdr:colOff>359429</xdr:colOff>
      <xdr:row>2</xdr:row>
      <xdr:rowOff>54775</xdr:rowOff>
    </xdr:from>
    <xdr:to>
      <xdr:col>2</xdr:col>
      <xdr:colOff>791429</xdr:colOff>
      <xdr:row>3</xdr:row>
      <xdr:rowOff>185744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9A3997B-E0E8-4E13-99F8-EFA5EBE5F1F0}"/>
            </a:ext>
          </a:extLst>
        </xdr:cNvPr>
        <xdr:cNvGrpSpPr/>
      </xdr:nvGrpSpPr>
      <xdr:grpSpPr>
        <a:xfrm>
          <a:off x="2664479" y="435775"/>
          <a:ext cx="432000" cy="321469"/>
          <a:chOff x="3719545" y="54771"/>
          <a:chExt cx="432000" cy="321468"/>
        </a:xfrm>
      </xdr:grpSpPr>
      <xdr:sp macro="" textlink="">
        <xdr:nvSpPr>
          <xdr:cNvPr id="6" name="Rectangle : coins arrondi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04A737A-658C-4198-9903-0FD1513C3F5C}"/>
              </a:ext>
            </a:extLst>
          </xdr:cNvPr>
          <xdr:cNvSpPr/>
        </xdr:nvSpPr>
        <xdr:spPr>
          <a:xfrm>
            <a:off x="3719545" y="54771"/>
            <a:ext cx="432000" cy="321468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400" b="1">
              <a:solidFill>
                <a:schemeClr val="bg1"/>
              </a:solidFill>
            </a:endParaRPr>
          </a:p>
        </xdr:txBody>
      </xdr:sp>
      <xdr:pic>
        <xdr:nvPicPr>
          <xdr:cNvPr id="7" name="Image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F1EE02-140A-4A3B-9743-ED0748305C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3"/>
              </a:ext>
            </a:extLst>
          </a:blip>
          <a:stretch>
            <a:fillRect/>
          </a:stretch>
        </xdr:blipFill>
        <xdr:spPr>
          <a:xfrm>
            <a:off x="3827545" y="130971"/>
            <a:ext cx="216000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923156</xdr:colOff>
      <xdr:row>2</xdr:row>
      <xdr:rowOff>69248</xdr:rowOff>
    </xdr:from>
    <xdr:to>
      <xdr:col>2</xdr:col>
      <xdr:colOff>1355156</xdr:colOff>
      <xdr:row>4</xdr:row>
      <xdr:rowOff>14046</xdr:rowOff>
    </xdr:to>
    <xdr:grpSp>
      <xdr:nvGrpSpPr>
        <xdr:cNvPr id="8" name="Group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BC095FE-BF88-409D-B81B-9A12A611D469}"/>
            </a:ext>
          </a:extLst>
        </xdr:cNvPr>
        <xdr:cNvGrpSpPr/>
      </xdr:nvGrpSpPr>
      <xdr:grpSpPr>
        <a:xfrm>
          <a:off x="3228206" y="450248"/>
          <a:ext cx="432000" cy="325798"/>
          <a:chOff x="2869390" y="557069"/>
          <a:chExt cx="432000" cy="325356"/>
        </a:xfrm>
      </xdr:grpSpPr>
      <xdr:sp macro="" textlink="">
        <xdr:nvSpPr>
          <xdr:cNvPr id="9" name="Rectangle : coins arrondis 8">
            <a:extLst>
              <a:ext uri="{FF2B5EF4-FFF2-40B4-BE49-F238E27FC236}">
                <a16:creationId xmlns:a16="http://schemas.microsoft.com/office/drawing/2014/main" id="{3CBC3424-E08D-4F3B-9B78-63F2C2CF65E9}"/>
              </a:ext>
            </a:extLst>
          </xdr:cNvPr>
          <xdr:cNvSpPr/>
        </xdr:nvSpPr>
        <xdr:spPr>
          <a:xfrm>
            <a:off x="2869390" y="557069"/>
            <a:ext cx="432000" cy="325356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400" b="1">
              <a:solidFill>
                <a:schemeClr val="bg1"/>
              </a:solidFill>
            </a:endParaRPr>
          </a:p>
        </xdr:txBody>
      </xdr:sp>
      <xdr:pic>
        <xdr:nvPicPr>
          <xdr:cNvPr id="10" name="Image 9">
            <a:extLst>
              <a:ext uri="{FF2B5EF4-FFF2-40B4-BE49-F238E27FC236}">
                <a16:creationId xmlns:a16="http://schemas.microsoft.com/office/drawing/2014/main" id="{04A3F402-EBCF-4A78-AC47-09F4177589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6"/>
              </a:ext>
            </a:extLst>
          </a:blip>
          <a:stretch>
            <a:fillRect/>
          </a:stretch>
        </xdr:blipFill>
        <xdr:spPr>
          <a:xfrm>
            <a:off x="2977390" y="631185"/>
            <a:ext cx="216000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11942</xdr:colOff>
      <xdr:row>2</xdr:row>
      <xdr:rowOff>64295</xdr:rowOff>
    </xdr:from>
    <xdr:to>
      <xdr:col>1</xdr:col>
      <xdr:colOff>1295400</xdr:colOff>
      <xdr:row>4</xdr:row>
      <xdr:rowOff>4763</xdr:rowOff>
    </xdr:to>
    <xdr:sp macro="[0]!Sort_Descendant_Mar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FBA6C98C-23BE-4529-A31C-9D0F220AC36B}"/>
            </a:ext>
          </a:extLst>
        </xdr:cNvPr>
        <xdr:cNvSpPr/>
      </xdr:nvSpPr>
      <xdr:spPr>
        <a:xfrm>
          <a:off x="11942" y="445295"/>
          <a:ext cx="1445383" cy="321468"/>
        </a:xfrm>
        <a:prstGeom prst="roundRect">
          <a:avLst/>
        </a:prstGeom>
        <a:solidFill>
          <a:srgbClr val="FF2929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Les As de l'Absence</a:t>
          </a:r>
        </a:p>
      </xdr:txBody>
    </xdr:sp>
    <xdr:clientData/>
  </xdr:twoCellAnchor>
  <xdr:twoCellAnchor>
    <xdr:from>
      <xdr:col>1</xdr:col>
      <xdr:colOff>1343025</xdr:colOff>
      <xdr:row>2</xdr:row>
      <xdr:rowOff>66675</xdr:rowOff>
    </xdr:from>
    <xdr:to>
      <xdr:col>2</xdr:col>
      <xdr:colOff>314325</xdr:colOff>
      <xdr:row>4</xdr:row>
      <xdr:rowOff>0</xdr:rowOff>
    </xdr:to>
    <xdr:sp macro="[0]!Sort_Names_Mar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DC3D7A48-4FC0-439A-8636-2771DE1ED370}"/>
            </a:ext>
          </a:extLst>
        </xdr:cNvPr>
        <xdr:cNvSpPr/>
      </xdr:nvSpPr>
      <xdr:spPr>
        <a:xfrm>
          <a:off x="1504950" y="447675"/>
          <a:ext cx="1114425" cy="314325"/>
        </a:xfrm>
        <a:prstGeom prst="roundRect">
          <a:avLst/>
        </a:prstGeom>
        <a:solidFill>
          <a:srgbClr val="217346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/>
            <a:t>Nom de A à B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11942</xdr:colOff>
      <xdr:row>0</xdr:row>
      <xdr:rowOff>45245</xdr:rowOff>
    </xdr:from>
    <xdr:to>
      <xdr:col>1</xdr:col>
      <xdr:colOff>1177254</xdr:colOff>
      <xdr:row>1</xdr:row>
      <xdr:rowOff>176213</xdr:rowOff>
    </xdr:to>
    <xdr:sp macro="[0]!Hid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A8D61D15-93DC-408B-8FB7-C06B6552A5AF}"/>
            </a:ext>
          </a:extLst>
        </xdr:cNvPr>
        <xdr:cNvSpPr/>
      </xdr:nvSpPr>
      <xdr:spPr>
        <a:xfrm>
          <a:off x="11942" y="45245"/>
          <a:ext cx="1327237" cy="32146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Masquer</a:t>
          </a:r>
          <a:r>
            <a:rPr lang="en-US" sz="1600" b="1" baseline="0">
              <a:solidFill>
                <a:schemeClr val="bg1"/>
              </a:solidFill>
            </a:rPr>
            <a:t> col.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</xdr:col>
      <xdr:colOff>1212376</xdr:colOff>
      <xdr:row>0</xdr:row>
      <xdr:rowOff>45245</xdr:rowOff>
    </xdr:from>
    <xdr:to>
      <xdr:col>2</xdr:col>
      <xdr:colOff>324758</xdr:colOff>
      <xdr:row>1</xdr:row>
      <xdr:rowOff>176213</xdr:rowOff>
    </xdr:to>
    <xdr:sp macro="[0]!Unhid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CE45E9F-94AD-46FB-B28A-57403ACB90CC}"/>
            </a:ext>
          </a:extLst>
        </xdr:cNvPr>
        <xdr:cNvSpPr/>
      </xdr:nvSpPr>
      <xdr:spPr>
        <a:xfrm>
          <a:off x="1374301" y="45245"/>
          <a:ext cx="1255507" cy="32146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Afficher</a:t>
          </a:r>
          <a:r>
            <a:rPr lang="en-US" sz="1600" b="1" baseline="0">
              <a:solidFill>
                <a:schemeClr val="bg1"/>
              </a:solidFill>
            </a:rPr>
            <a:t> col.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359876</xdr:colOff>
      <xdr:row>0</xdr:row>
      <xdr:rowOff>45245</xdr:rowOff>
    </xdr:from>
    <xdr:to>
      <xdr:col>2</xdr:col>
      <xdr:colOff>1367876</xdr:colOff>
      <xdr:row>1</xdr:row>
      <xdr:rowOff>176213</xdr:rowOff>
    </xdr:to>
    <xdr:sp macro="[0]!PrintApr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FB545749-C81A-43CB-9912-3FBE78D1A955}"/>
            </a:ext>
          </a:extLst>
        </xdr:cNvPr>
        <xdr:cNvSpPr/>
      </xdr:nvSpPr>
      <xdr:spPr>
        <a:xfrm>
          <a:off x="2664926" y="45245"/>
          <a:ext cx="1008000" cy="32146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Imprimer</a:t>
          </a:r>
        </a:p>
      </xdr:txBody>
    </xdr:sp>
    <xdr:clientData/>
  </xdr:twoCellAnchor>
  <xdr:twoCellAnchor editAs="absolute">
    <xdr:from>
      <xdr:col>2</xdr:col>
      <xdr:colOff>359429</xdr:colOff>
      <xdr:row>2</xdr:row>
      <xdr:rowOff>54775</xdr:rowOff>
    </xdr:from>
    <xdr:to>
      <xdr:col>2</xdr:col>
      <xdr:colOff>791429</xdr:colOff>
      <xdr:row>3</xdr:row>
      <xdr:rowOff>185744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36761A62-D109-4988-BD3F-AA6609EA92B1}"/>
            </a:ext>
          </a:extLst>
        </xdr:cNvPr>
        <xdr:cNvGrpSpPr/>
      </xdr:nvGrpSpPr>
      <xdr:grpSpPr>
        <a:xfrm>
          <a:off x="2664479" y="435775"/>
          <a:ext cx="432000" cy="321469"/>
          <a:chOff x="3719545" y="54771"/>
          <a:chExt cx="432000" cy="321468"/>
        </a:xfrm>
      </xdr:grpSpPr>
      <xdr:sp macro="" textlink="">
        <xdr:nvSpPr>
          <xdr:cNvPr id="6" name="Rectangle : coins arrondi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7C70DAD-7895-42D3-9F02-41E472DAFA3C}"/>
              </a:ext>
            </a:extLst>
          </xdr:cNvPr>
          <xdr:cNvSpPr/>
        </xdr:nvSpPr>
        <xdr:spPr>
          <a:xfrm>
            <a:off x="3719545" y="54771"/>
            <a:ext cx="432000" cy="321468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400" b="1">
              <a:solidFill>
                <a:schemeClr val="bg1"/>
              </a:solidFill>
            </a:endParaRPr>
          </a:p>
        </xdr:txBody>
      </xdr:sp>
      <xdr:pic>
        <xdr:nvPicPr>
          <xdr:cNvPr id="7" name="Image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EB2FD3D-A548-42FF-8FF3-A4FB53D07C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3"/>
              </a:ext>
            </a:extLst>
          </a:blip>
          <a:stretch>
            <a:fillRect/>
          </a:stretch>
        </xdr:blipFill>
        <xdr:spPr>
          <a:xfrm>
            <a:off x="3827545" y="130971"/>
            <a:ext cx="216000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923156</xdr:colOff>
      <xdr:row>2</xdr:row>
      <xdr:rowOff>69248</xdr:rowOff>
    </xdr:from>
    <xdr:to>
      <xdr:col>2</xdr:col>
      <xdr:colOff>1355156</xdr:colOff>
      <xdr:row>4</xdr:row>
      <xdr:rowOff>14046</xdr:rowOff>
    </xdr:to>
    <xdr:grpSp>
      <xdr:nvGrpSpPr>
        <xdr:cNvPr id="8" name="Group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7632A1F-3DAA-4D58-B61F-FBDFD1C1F590}"/>
            </a:ext>
          </a:extLst>
        </xdr:cNvPr>
        <xdr:cNvGrpSpPr/>
      </xdr:nvGrpSpPr>
      <xdr:grpSpPr>
        <a:xfrm>
          <a:off x="3228206" y="450248"/>
          <a:ext cx="432000" cy="325798"/>
          <a:chOff x="2869390" y="557069"/>
          <a:chExt cx="432000" cy="325356"/>
        </a:xfrm>
      </xdr:grpSpPr>
      <xdr:sp macro="" textlink="">
        <xdr:nvSpPr>
          <xdr:cNvPr id="9" name="Rectangle : coins arrondis 8">
            <a:extLst>
              <a:ext uri="{FF2B5EF4-FFF2-40B4-BE49-F238E27FC236}">
                <a16:creationId xmlns:a16="http://schemas.microsoft.com/office/drawing/2014/main" id="{1AB86AAE-638F-4AB5-AEC1-A3D99A055E97}"/>
              </a:ext>
            </a:extLst>
          </xdr:cNvPr>
          <xdr:cNvSpPr/>
        </xdr:nvSpPr>
        <xdr:spPr>
          <a:xfrm>
            <a:off x="2869390" y="557069"/>
            <a:ext cx="432000" cy="325356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400" b="1">
              <a:solidFill>
                <a:schemeClr val="bg1"/>
              </a:solidFill>
            </a:endParaRPr>
          </a:p>
        </xdr:txBody>
      </xdr:sp>
      <xdr:pic>
        <xdr:nvPicPr>
          <xdr:cNvPr id="10" name="Image 9">
            <a:extLst>
              <a:ext uri="{FF2B5EF4-FFF2-40B4-BE49-F238E27FC236}">
                <a16:creationId xmlns:a16="http://schemas.microsoft.com/office/drawing/2014/main" id="{584B8B0B-8D23-4443-ABF1-707B1DDC00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6"/>
              </a:ext>
            </a:extLst>
          </a:blip>
          <a:stretch>
            <a:fillRect/>
          </a:stretch>
        </xdr:blipFill>
        <xdr:spPr>
          <a:xfrm>
            <a:off x="2977390" y="631185"/>
            <a:ext cx="216000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11942</xdr:colOff>
      <xdr:row>2</xdr:row>
      <xdr:rowOff>64295</xdr:rowOff>
    </xdr:from>
    <xdr:to>
      <xdr:col>1</xdr:col>
      <xdr:colOff>1295400</xdr:colOff>
      <xdr:row>4</xdr:row>
      <xdr:rowOff>4763</xdr:rowOff>
    </xdr:to>
    <xdr:sp macro="[0]!Sort_Descendant_Apr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EE327032-DDA5-4C11-9059-036D357F960D}"/>
            </a:ext>
          </a:extLst>
        </xdr:cNvPr>
        <xdr:cNvSpPr/>
      </xdr:nvSpPr>
      <xdr:spPr>
        <a:xfrm>
          <a:off x="11942" y="445295"/>
          <a:ext cx="1445383" cy="321468"/>
        </a:xfrm>
        <a:prstGeom prst="roundRect">
          <a:avLst/>
        </a:prstGeom>
        <a:solidFill>
          <a:srgbClr val="FF2929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Les As de l'Absence</a:t>
          </a:r>
        </a:p>
      </xdr:txBody>
    </xdr:sp>
    <xdr:clientData/>
  </xdr:twoCellAnchor>
  <xdr:twoCellAnchor>
    <xdr:from>
      <xdr:col>1</xdr:col>
      <xdr:colOff>1343025</xdr:colOff>
      <xdr:row>2</xdr:row>
      <xdr:rowOff>66675</xdr:rowOff>
    </xdr:from>
    <xdr:to>
      <xdr:col>2</xdr:col>
      <xdr:colOff>314325</xdr:colOff>
      <xdr:row>4</xdr:row>
      <xdr:rowOff>0</xdr:rowOff>
    </xdr:to>
    <xdr:sp macro="[0]!Sort_Names_Apr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7BA06259-EEC2-4AA5-BDDE-03B8BB95501E}"/>
            </a:ext>
          </a:extLst>
        </xdr:cNvPr>
        <xdr:cNvSpPr/>
      </xdr:nvSpPr>
      <xdr:spPr>
        <a:xfrm>
          <a:off x="1504950" y="447675"/>
          <a:ext cx="1114425" cy="314325"/>
        </a:xfrm>
        <a:prstGeom prst="roundRect">
          <a:avLst/>
        </a:prstGeom>
        <a:solidFill>
          <a:srgbClr val="217346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/>
            <a:t>Nom de A à 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11942</xdr:colOff>
      <xdr:row>0</xdr:row>
      <xdr:rowOff>45245</xdr:rowOff>
    </xdr:from>
    <xdr:to>
      <xdr:col>1</xdr:col>
      <xdr:colOff>1177254</xdr:colOff>
      <xdr:row>1</xdr:row>
      <xdr:rowOff>176213</xdr:rowOff>
    </xdr:to>
    <xdr:sp macro="[0]!Hid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2C4F462A-FF02-465D-985A-6E97185A0DA7}"/>
            </a:ext>
          </a:extLst>
        </xdr:cNvPr>
        <xdr:cNvSpPr/>
      </xdr:nvSpPr>
      <xdr:spPr>
        <a:xfrm>
          <a:off x="11942" y="45245"/>
          <a:ext cx="1327237" cy="32146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Masquer</a:t>
          </a:r>
          <a:r>
            <a:rPr lang="en-US" sz="1600" b="1" baseline="0">
              <a:solidFill>
                <a:schemeClr val="bg1"/>
              </a:solidFill>
            </a:rPr>
            <a:t> col.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</xdr:col>
      <xdr:colOff>1212376</xdr:colOff>
      <xdr:row>0</xdr:row>
      <xdr:rowOff>45245</xdr:rowOff>
    </xdr:from>
    <xdr:to>
      <xdr:col>2</xdr:col>
      <xdr:colOff>324758</xdr:colOff>
      <xdr:row>1</xdr:row>
      <xdr:rowOff>176213</xdr:rowOff>
    </xdr:to>
    <xdr:sp macro="[0]!Unhid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41404602-453F-4CDD-8906-8BCB70A85023}"/>
            </a:ext>
          </a:extLst>
        </xdr:cNvPr>
        <xdr:cNvSpPr/>
      </xdr:nvSpPr>
      <xdr:spPr>
        <a:xfrm>
          <a:off x="1374301" y="45245"/>
          <a:ext cx="1255507" cy="32146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Afficher</a:t>
          </a:r>
          <a:r>
            <a:rPr lang="en-US" sz="1600" b="1" baseline="0">
              <a:solidFill>
                <a:schemeClr val="bg1"/>
              </a:solidFill>
            </a:rPr>
            <a:t> col.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359876</xdr:colOff>
      <xdr:row>0</xdr:row>
      <xdr:rowOff>45245</xdr:rowOff>
    </xdr:from>
    <xdr:to>
      <xdr:col>2</xdr:col>
      <xdr:colOff>1367876</xdr:colOff>
      <xdr:row>1</xdr:row>
      <xdr:rowOff>176213</xdr:rowOff>
    </xdr:to>
    <xdr:sp macro="[0]!PrintMay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9526621-4043-4DCD-B6FB-B3CA85266FA6}"/>
            </a:ext>
          </a:extLst>
        </xdr:cNvPr>
        <xdr:cNvSpPr/>
      </xdr:nvSpPr>
      <xdr:spPr>
        <a:xfrm>
          <a:off x="2664926" y="45245"/>
          <a:ext cx="1008000" cy="32146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Imprimer</a:t>
          </a:r>
        </a:p>
      </xdr:txBody>
    </xdr:sp>
    <xdr:clientData/>
  </xdr:twoCellAnchor>
  <xdr:twoCellAnchor editAs="absolute">
    <xdr:from>
      <xdr:col>2</xdr:col>
      <xdr:colOff>359429</xdr:colOff>
      <xdr:row>2</xdr:row>
      <xdr:rowOff>54775</xdr:rowOff>
    </xdr:from>
    <xdr:to>
      <xdr:col>2</xdr:col>
      <xdr:colOff>791429</xdr:colOff>
      <xdr:row>3</xdr:row>
      <xdr:rowOff>185744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CB0D651-4611-43A9-B5A2-FBAB66AE49AA}"/>
            </a:ext>
          </a:extLst>
        </xdr:cNvPr>
        <xdr:cNvGrpSpPr/>
      </xdr:nvGrpSpPr>
      <xdr:grpSpPr>
        <a:xfrm>
          <a:off x="2664479" y="435775"/>
          <a:ext cx="432000" cy="321469"/>
          <a:chOff x="3719545" y="54771"/>
          <a:chExt cx="432000" cy="321468"/>
        </a:xfrm>
      </xdr:grpSpPr>
      <xdr:sp macro="" textlink="">
        <xdr:nvSpPr>
          <xdr:cNvPr id="6" name="Rectangle : coins arrondi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D96AB13-FCAE-44C6-BEED-9894E88082CD}"/>
              </a:ext>
            </a:extLst>
          </xdr:cNvPr>
          <xdr:cNvSpPr/>
        </xdr:nvSpPr>
        <xdr:spPr>
          <a:xfrm>
            <a:off x="3719545" y="54771"/>
            <a:ext cx="432000" cy="321468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400" b="1">
              <a:solidFill>
                <a:schemeClr val="bg1"/>
              </a:solidFill>
            </a:endParaRPr>
          </a:p>
        </xdr:txBody>
      </xdr:sp>
      <xdr:pic>
        <xdr:nvPicPr>
          <xdr:cNvPr id="7" name="Image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7AE5334-F4A4-4D2E-A206-5734528716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3"/>
              </a:ext>
            </a:extLst>
          </a:blip>
          <a:stretch>
            <a:fillRect/>
          </a:stretch>
        </xdr:blipFill>
        <xdr:spPr>
          <a:xfrm>
            <a:off x="3827545" y="130971"/>
            <a:ext cx="216000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923156</xdr:colOff>
      <xdr:row>2</xdr:row>
      <xdr:rowOff>69248</xdr:rowOff>
    </xdr:from>
    <xdr:to>
      <xdr:col>2</xdr:col>
      <xdr:colOff>1355156</xdr:colOff>
      <xdr:row>4</xdr:row>
      <xdr:rowOff>14046</xdr:rowOff>
    </xdr:to>
    <xdr:grpSp>
      <xdr:nvGrpSpPr>
        <xdr:cNvPr id="8" name="Group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0A58515-C7F6-441F-9A38-FD4BF728B5C5}"/>
            </a:ext>
          </a:extLst>
        </xdr:cNvPr>
        <xdr:cNvGrpSpPr/>
      </xdr:nvGrpSpPr>
      <xdr:grpSpPr>
        <a:xfrm>
          <a:off x="3228206" y="450248"/>
          <a:ext cx="432000" cy="325798"/>
          <a:chOff x="2869390" y="557069"/>
          <a:chExt cx="432000" cy="325356"/>
        </a:xfrm>
      </xdr:grpSpPr>
      <xdr:sp macro="" textlink="">
        <xdr:nvSpPr>
          <xdr:cNvPr id="9" name="Rectangle : coins arrondis 8">
            <a:extLst>
              <a:ext uri="{FF2B5EF4-FFF2-40B4-BE49-F238E27FC236}">
                <a16:creationId xmlns:a16="http://schemas.microsoft.com/office/drawing/2014/main" id="{4D292EA5-A811-4728-9F1A-14799A2BD139}"/>
              </a:ext>
            </a:extLst>
          </xdr:cNvPr>
          <xdr:cNvSpPr/>
        </xdr:nvSpPr>
        <xdr:spPr>
          <a:xfrm>
            <a:off x="2869390" y="557069"/>
            <a:ext cx="432000" cy="325356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400" b="1">
              <a:solidFill>
                <a:schemeClr val="bg1"/>
              </a:solidFill>
            </a:endParaRPr>
          </a:p>
        </xdr:txBody>
      </xdr:sp>
      <xdr:pic>
        <xdr:nvPicPr>
          <xdr:cNvPr id="10" name="Image 9">
            <a:extLst>
              <a:ext uri="{FF2B5EF4-FFF2-40B4-BE49-F238E27FC236}">
                <a16:creationId xmlns:a16="http://schemas.microsoft.com/office/drawing/2014/main" id="{7630C1EA-5E7B-4321-A715-0C72285BBC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6"/>
              </a:ext>
            </a:extLst>
          </a:blip>
          <a:stretch>
            <a:fillRect/>
          </a:stretch>
        </xdr:blipFill>
        <xdr:spPr>
          <a:xfrm>
            <a:off x="2977390" y="631185"/>
            <a:ext cx="216000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11942</xdr:colOff>
      <xdr:row>2</xdr:row>
      <xdr:rowOff>64295</xdr:rowOff>
    </xdr:from>
    <xdr:to>
      <xdr:col>1</xdr:col>
      <xdr:colOff>1295400</xdr:colOff>
      <xdr:row>4</xdr:row>
      <xdr:rowOff>4763</xdr:rowOff>
    </xdr:to>
    <xdr:sp macro="[0]!Sort_Descendant_May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91C02C02-DFF7-4EBC-8343-E26E709FFCED}"/>
            </a:ext>
          </a:extLst>
        </xdr:cNvPr>
        <xdr:cNvSpPr/>
      </xdr:nvSpPr>
      <xdr:spPr>
        <a:xfrm>
          <a:off x="11942" y="445295"/>
          <a:ext cx="1445383" cy="321468"/>
        </a:xfrm>
        <a:prstGeom prst="roundRect">
          <a:avLst/>
        </a:prstGeom>
        <a:solidFill>
          <a:srgbClr val="FF2929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Les As de l'Absence</a:t>
          </a:r>
        </a:p>
      </xdr:txBody>
    </xdr:sp>
    <xdr:clientData/>
  </xdr:twoCellAnchor>
  <xdr:twoCellAnchor>
    <xdr:from>
      <xdr:col>1</xdr:col>
      <xdr:colOff>1343025</xdr:colOff>
      <xdr:row>2</xdr:row>
      <xdr:rowOff>66675</xdr:rowOff>
    </xdr:from>
    <xdr:to>
      <xdr:col>2</xdr:col>
      <xdr:colOff>314325</xdr:colOff>
      <xdr:row>4</xdr:row>
      <xdr:rowOff>0</xdr:rowOff>
    </xdr:to>
    <xdr:sp macro="[0]!Sort_Names_May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523D064-440B-4944-AE80-D038FEEDADE4}"/>
            </a:ext>
          </a:extLst>
        </xdr:cNvPr>
        <xdr:cNvSpPr/>
      </xdr:nvSpPr>
      <xdr:spPr>
        <a:xfrm>
          <a:off x="1504950" y="447675"/>
          <a:ext cx="1114425" cy="314325"/>
        </a:xfrm>
        <a:prstGeom prst="roundRect">
          <a:avLst/>
        </a:prstGeom>
        <a:solidFill>
          <a:srgbClr val="217346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/>
            <a:t>Nom de A à B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11942</xdr:colOff>
      <xdr:row>0</xdr:row>
      <xdr:rowOff>45245</xdr:rowOff>
    </xdr:from>
    <xdr:to>
      <xdr:col>1</xdr:col>
      <xdr:colOff>1177254</xdr:colOff>
      <xdr:row>1</xdr:row>
      <xdr:rowOff>176213</xdr:rowOff>
    </xdr:to>
    <xdr:sp macro="[0]!Hid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AEEBA21-21B6-4367-922A-6E53049C3F19}"/>
            </a:ext>
          </a:extLst>
        </xdr:cNvPr>
        <xdr:cNvSpPr/>
      </xdr:nvSpPr>
      <xdr:spPr>
        <a:xfrm>
          <a:off x="11942" y="45245"/>
          <a:ext cx="1327237" cy="32146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Masquer</a:t>
          </a:r>
          <a:r>
            <a:rPr lang="en-US" sz="1600" b="1" baseline="0">
              <a:solidFill>
                <a:schemeClr val="bg1"/>
              </a:solidFill>
            </a:rPr>
            <a:t> col.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</xdr:col>
      <xdr:colOff>1212376</xdr:colOff>
      <xdr:row>0</xdr:row>
      <xdr:rowOff>45245</xdr:rowOff>
    </xdr:from>
    <xdr:to>
      <xdr:col>2</xdr:col>
      <xdr:colOff>324758</xdr:colOff>
      <xdr:row>1</xdr:row>
      <xdr:rowOff>176213</xdr:rowOff>
    </xdr:to>
    <xdr:sp macro="[0]!Unhid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28B0C87-516B-47BE-9CB4-A03C1EF46B0B}"/>
            </a:ext>
          </a:extLst>
        </xdr:cNvPr>
        <xdr:cNvSpPr/>
      </xdr:nvSpPr>
      <xdr:spPr>
        <a:xfrm>
          <a:off x="1374301" y="45245"/>
          <a:ext cx="1255507" cy="32146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Afficher</a:t>
          </a:r>
          <a:r>
            <a:rPr lang="en-US" sz="1600" b="1" baseline="0">
              <a:solidFill>
                <a:schemeClr val="bg1"/>
              </a:solidFill>
            </a:rPr>
            <a:t> col.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359876</xdr:colOff>
      <xdr:row>0</xdr:row>
      <xdr:rowOff>45245</xdr:rowOff>
    </xdr:from>
    <xdr:to>
      <xdr:col>2</xdr:col>
      <xdr:colOff>1367876</xdr:colOff>
      <xdr:row>1</xdr:row>
      <xdr:rowOff>176213</xdr:rowOff>
    </xdr:to>
    <xdr:sp macro="[0]!PrintJun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949FDE4-A9A8-4C2D-A111-3B91B8402225}"/>
            </a:ext>
          </a:extLst>
        </xdr:cNvPr>
        <xdr:cNvSpPr/>
      </xdr:nvSpPr>
      <xdr:spPr>
        <a:xfrm>
          <a:off x="2664926" y="45245"/>
          <a:ext cx="1008000" cy="32146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Imprimer</a:t>
          </a:r>
        </a:p>
      </xdr:txBody>
    </xdr:sp>
    <xdr:clientData/>
  </xdr:twoCellAnchor>
  <xdr:twoCellAnchor editAs="absolute">
    <xdr:from>
      <xdr:col>2</xdr:col>
      <xdr:colOff>359429</xdr:colOff>
      <xdr:row>2</xdr:row>
      <xdr:rowOff>54775</xdr:rowOff>
    </xdr:from>
    <xdr:to>
      <xdr:col>2</xdr:col>
      <xdr:colOff>791429</xdr:colOff>
      <xdr:row>3</xdr:row>
      <xdr:rowOff>185744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3EFE145-8FD5-4F5C-9C7A-0B81F78CCC63}"/>
            </a:ext>
          </a:extLst>
        </xdr:cNvPr>
        <xdr:cNvGrpSpPr/>
      </xdr:nvGrpSpPr>
      <xdr:grpSpPr>
        <a:xfrm>
          <a:off x="2664479" y="435775"/>
          <a:ext cx="432000" cy="321469"/>
          <a:chOff x="3719545" y="54771"/>
          <a:chExt cx="432000" cy="321468"/>
        </a:xfrm>
      </xdr:grpSpPr>
      <xdr:sp macro="" textlink="">
        <xdr:nvSpPr>
          <xdr:cNvPr id="6" name="Rectangle : coins arrondi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B893936-F896-440F-9907-52C4EEF930F6}"/>
              </a:ext>
            </a:extLst>
          </xdr:cNvPr>
          <xdr:cNvSpPr/>
        </xdr:nvSpPr>
        <xdr:spPr>
          <a:xfrm>
            <a:off x="3719545" y="54771"/>
            <a:ext cx="432000" cy="321468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400" b="1">
              <a:solidFill>
                <a:schemeClr val="bg1"/>
              </a:solidFill>
            </a:endParaRPr>
          </a:p>
        </xdr:txBody>
      </xdr:sp>
      <xdr:pic>
        <xdr:nvPicPr>
          <xdr:cNvPr id="7" name="Image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F056095-3AB7-40E6-9FEC-E6614E0B6A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3"/>
              </a:ext>
            </a:extLst>
          </a:blip>
          <a:stretch>
            <a:fillRect/>
          </a:stretch>
        </xdr:blipFill>
        <xdr:spPr>
          <a:xfrm>
            <a:off x="3827545" y="130971"/>
            <a:ext cx="216000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923156</xdr:colOff>
      <xdr:row>2</xdr:row>
      <xdr:rowOff>69248</xdr:rowOff>
    </xdr:from>
    <xdr:to>
      <xdr:col>2</xdr:col>
      <xdr:colOff>1355156</xdr:colOff>
      <xdr:row>4</xdr:row>
      <xdr:rowOff>14046</xdr:rowOff>
    </xdr:to>
    <xdr:grpSp>
      <xdr:nvGrpSpPr>
        <xdr:cNvPr id="8" name="Group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42F462D-B8E6-4D20-9E5F-38A5D7644ED6}"/>
            </a:ext>
          </a:extLst>
        </xdr:cNvPr>
        <xdr:cNvGrpSpPr/>
      </xdr:nvGrpSpPr>
      <xdr:grpSpPr>
        <a:xfrm>
          <a:off x="3228206" y="450248"/>
          <a:ext cx="432000" cy="325798"/>
          <a:chOff x="2869390" y="557069"/>
          <a:chExt cx="432000" cy="325356"/>
        </a:xfrm>
      </xdr:grpSpPr>
      <xdr:sp macro="" textlink="">
        <xdr:nvSpPr>
          <xdr:cNvPr id="9" name="Rectangle : coins arrondis 8">
            <a:extLst>
              <a:ext uri="{FF2B5EF4-FFF2-40B4-BE49-F238E27FC236}">
                <a16:creationId xmlns:a16="http://schemas.microsoft.com/office/drawing/2014/main" id="{08342185-F572-43AE-86EC-83BE4337E777}"/>
              </a:ext>
            </a:extLst>
          </xdr:cNvPr>
          <xdr:cNvSpPr/>
        </xdr:nvSpPr>
        <xdr:spPr>
          <a:xfrm>
            <a:off x="2869390" y="557069"/>
            <a:ext cx="432000" cy="325356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400" b="1">
              <a:solidFill>
                <a:schemeClr val="bg1"/>
              </a:solidFill>
            </a:endParaRPr>
          </a:p>
        </xdr:txBody>
      </xdr:sp>
      <xdr:pic>
        <xdr:nvPicPr>
          <xdr:cNvPr id="10" name="Image 9">
            <a:extLst>
              <a:ext uri="{FF2B5EF4-FFF2-40B4-BE49-F238E27FC236}">
                <a16:creationId xmlns:a16="http://schemas.microsoft.com/office/drawing/2014/main" id="{8E28CD2A-E00A-4B0A-88F2-02A7B5CF7D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6"/>
              </a:ext>
            </a:extLst>
          </a:blip>
          <a:stretch>
            <a:fillRect/>
          </a:stretch>
        </xdr:blipFill>
        <xdr:spPr>
          <a:xfrm>
            <a:off x="2977390" y="631185"/>
            <a:ext cx="216000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11942</xdr:colOff>
      <xdr:row>2</xdr:row>
      <xdr:rowOff>64295</xdr:rowOff>
    </xdr:from>
    <xdr:to>
      <xdr:col>1</xdr:col>
      <xdr:colOff>1295400</xdr:colOff>
      <xdr:row>4</xdr:row>
      <xdr:rowOff>4763</xdr:rowOff>
    </xdr:to>
    <xdr:sp macro="[0]!Sort_Descendant_Jun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833DC6DA-6F1B-4FC9-8F53-E677F525CB66}"/>
            </a:ext>
          </a:extLst>
        </xdr:cNvPr>
        <xdr:cNvSpPr/>
      </xdr:nvSpPr>
      <xdr:spPr>
        <a:xfrm>
          <a:off x="11942" y="445295"/>
          <a:ext cx="1445383" cy="321468"/>
        </a:xfrm>
        <a:prstGeom prst="roundRect">
          <a:avLst/>
        </a:prstGeom>
        <a:solidFill>
          <a:srgbClr val="FF2929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Les As de l'Absence</a:t>
          </a:r>
        </a:p>
      </xdr:txBody>
    </xdr:sp>
    <xdr:clientData/>
  </xdr:twoCellAnchor>
  <xdr:twoCellAnchor>
    <xdr:from>
      <xdr:col>1</xdr:col>
      <xdr:colOff>1343025</xdr:colOff>
      <xdr:row>2</xdr:row>
      <xdr:rowOff>66675</xdr:rowOff>
    </xdr:from>
    <xdr:to>
      <xdr:col>2</xdr:col>
      <xdr:colOff>314325</xdr:colOff>
      <xdr:row>4</xdr:row>
      <xdr:rowOff>0</xdr:rowOff>
    </xdr:to>
    <xdr:sp macro="[0]!Sort_Names_Jun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42B74C6-4F8E-4B9E-BF8E-24C940F7FA4E}"/>
            </a:ext>
          </a:extLst>
        </xdr:cNvPr>
        <xdr:cNvSpPr/>
      </xdr:nvSpPr>
      <xdr:spPr>
        <a:xfrm>
          <a:off x="1504950" y="447675"/>
          <a:ext cx="1114425" cy="314325"/>
        </a:xfrm>
        <a:prstGeom prst="roundRect">
          <a:avLst/>
        </a:prstGeom>
        <a:solidFill>
          <a:srgbClr val="217346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/>
            <a:t>Nom de A à B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11942</xdr:colOff>
      <xdr:row>0</xdr:row>
      <xdr:rowOff>45245</xdr:rowOff>
    </xdr:from>
    <xdr:to>
      <xdr:col>1</xdr:col>
      <xdr:colOff>1177254</xdr:colOff>
      <xdr:row>1</xdr:row>
      <xdr:rowOff>176213</xdr:rowOff>
    </xdr:to>
    <xdr:sp macro="[0]!Hid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232D1928-7C2B-4432-8352-6B64529CAF83}"/>
            </a:ext>
          </a:extLst>
        </xdr:cNvPr>
        <xdr:cNvSpPr/>
      </xdr:nvSpPr>
      <xdr:spPr>
        <a:xfrm>
          <a:off x="11942" y="45245"/>
          <a:ext cx="1327237" cy="32146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Masquer</a:t>
          </a:r>
          <a:r>
            <a:rPr lang="en-US" sz="1600" b="1" baseline="0">
              <a:solidFill>
                <a:schemeClr val="bg1"/>
              </a:solidFill>
            </a:rPr>
            <a:t> col.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</xdr:col>
      <xdr:colOff>1212376</xdr:colOff>
      <xdr:row>0</xdr:row>
      <xdr:rowOff>45245</xdr:rowOff>
    </xdr:from>
    <xdr:to>
      <xdr:col>2</xdr:col>
      <xdr:colOff>324758</xdr:colOff>
      <xdr:row>1</xdr:row>
      <xdr:rowOff>176213</xdr:rowOff>
    </xdr:to>
    <xdr:sp macro="[0]!Unhid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4028C98A-D955-4853-A1D1-D7C6B9B312BC}"/>
            </a:ext>
          </a:extLst>
        </xdr:cNvPr>
        <xdr:cNvSpPr/>
      </xdr:nvSpPr>
      <xdr:spPr>
        <a:xfrm>
          <a:off x="1374301" y="45245"/>
          <a:ext cx="1255507" cy="32146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Afficher</a:t>
          </a:r>
          <a:r>
            <a:rPr lang="en-US" sz="1600" b="1" baseline="0">
              <a:solidFill>
                <a:schemeClr val="bg1"/>
              </a:solidFill>
            </a:rPr>
            <a:t> col.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359876</xdr:colOff>
      <xdr:row>0</xdr:row>
      <xdr:rowOff>45245</xdr:rowOff>
    </xdr:from>
    <xdr:to>
      <xdr:col>2</xdr:col>
      <xdr:colOff>1367876</xdr:colOff>
      <xdr:row>1</xdr:row>
      <xdr:rowOff>176213</xdr:rowOff>
    </xdr:to>
    <xdr:sp macro="[0]!PrintJul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65BC30D1-D878-4BD2-9E1D-5B09FE6E866C}"/>
            </a:ext>
          </a:extLst>
        </xdr:cNvPr>
        <xdr:cNvSpPr/>
      </xdr:nvSpPr>
      <xdr:spPr>
        <a:xfrm>
          <a:off x="2664926" y="45245"/>
          <a:ext cx="1008000" cy="32146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Imprimer</a:t>
          </a:r>
        </a:p>
      </xdr:txBody>
    </xdr:sp>
    <xdr:clientData/>
  </xdr:twoCellAnchor>
  <xdr:twoCellAnchor editAs="absolute">
    <xdr:from>
      <xdr:col>2</xdr:col>
      <xdr:colOff>359429</xdr:colOff>
      <xdr:row>2</xdr:row>
      <xdr:rowOff>54775</xdr:rowOff>
    </xdr:from>
    <xdr:to>
      <xdr:col>2</xdr:col>
      <xdr:colOff>791429</xdr:colOff>
      <xdr:row>3</xdr:row>
      <xdr:rowOff>185744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41F23F6A-C613-45D6-87B3-E557F6E76DAE}"/>
            </a:ext>
          </a:extLst>
        </xdr:cNvPr>
        <xdr:cNvGrpSpPr/>
      </xdr:nvGrpSpPr>
      <xdr:grpSpPr>
        <a:xfrm>
          <a:off x="2664479" y="435775"/>
          <a:ext cx="432000" cy="321469"/>
          <a:chOff x="3719545" y="54771"/>
          <a:chExt cx="432000" cy="321468"/>
        </a:xfrm>
      </xdr:grpSpPr>
      <xdr:sp macro="" textlink="">
        <xdr:nvSpPr>
          <xdr:cNvPr id="6" name="Rectangle : coins arrondi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A5CAD6A-5D6F-411F-9A83-550CBF632BE2}"/>
              </a:ext>
            </a:extLst>
          </xdr:cNvPr>
          <xdr:cNvSpPr/>
        </xdr:nvSpPr>
        <xdr:spPr>
          <a:xfrm>
            <a:off x="3719545" y="54771"/>
            <a:ext cx="432000" cy="321468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400" b="1">
              <a:solidFill>
                <a:schemeClr val="bg1"/>
              </a:solidFill>
            </a:endParaRPr>
          </a:p>
        </xdr:txBody>
      </xdr:sp>
      <xdr:pic>
        <xdr:nvPicPr>
          <xdr:cNvPr id="7" name="Image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9D599F-DC57-4333-83DB-440187DCE1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3"/>
              </a:ext>
            </a:extLst>
          </a:blip>
          <a:stretch>
            <a:fillRect/>
          </a:stretch>
        </xdr:blipFill>
        <xdr:spPr>
          <a:xfrm>
            <a:off x="3827545" y="130971"/>
            <a:ext cx="216000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923156</xdr:colOff>
      <xdr:row>2</xdr:row>
      <xdr:rowOff>69248</xdr:rowOff>
    </xdr:from>
    <xdr:to>
      <xdr:col>2</xdr:col>
      <xdr:colOff>1355156</xdr:colOff>
      <xdr:row>4</xdr:row>
      <xdr:rowOff>14046</xdr:rowOff>
    </xdr:to>
    <xdr:grpSp>
      <xdr:nvGrpSpPr>
        <xdr:cNvPr id="8" name="Group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A9C4CAF-CC1A-4006-B9D9-3A134243DF6C}"/>
            </a:ext>
          </a:extLst>
        </xdr:cNvPr>
        <xdr:cNvGrpSpPr/>
      </xdr:nvGrpSpPr>
      <xdr:grpSpPr>
        <a:xfrm>
          <a:off x="3228206" y="450248"/>
          <a:ext cx="432000" cy="325798"/>
          <a:chOff x="2869390" y="557069"/>
          <a:chExt cx="432000" cy="325356"/>
        </a:xfrm>
      </xdr:grpSpPr>
      <xdr:sp macro="" textlink="">
        <xdr:nvSpPr>
          <xdr:cNvPr id="9" name="Rectangle : coins arrondis 8">
            <a:extLst>
              <a:ext uri="{FF2B5EF4-FFF2-40B4-BE49-F238E27FC236}">
                <a16:creationId xmlns:a16="http://schemas.microsoft.com/office/drawing/2014/main" id="{EE383335-55BE-4288-97A7-D170D58034E2}"/>
              </a:ext>
            </a:extLst>
          </xdr:cNvPr>
          <xdr:cNvSpPr/>
        </xdr:nvSpPr>
        <xdr:spPr>
          <a:xfrm>
            <a:off x="2869390" y="557069"/>
            <a:ext cx="432000" cy="325356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400" b="1">
              <a:solidFill>
                <a:schemeClr val="bg1"/>
              </a:solidFill>
            </a:endParaRPr>
          </a:p>
        </xdr:txBody>
      </xdr:sp>
      <xdr:pic>
        <xdr:nvPicPr>
          <xdr:cNvPr id="10" name="Image 9">
            <a:extLst>
              <a:ext uri="{FF2B5EF4-FFF2-40B4-BE49-F238E27FC236}">
                <a16:creationId xmlns:a16="http://schemas.microsoft.com/office/drawing/2014/main" id="{9406D99E-42B0-4BEA-A37C-AF1D62833C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6"/>
              </a:ext>
            </a:extLst>
          </a:blip>
          <a:stretch>
            <a:fillRect/>
          </a:stretch>
        </xdr:blipFill>
        <xdr:spPr>
          <a:xfrm>
            <a:off x="2977390" y="631185"/>
            <a:ext cx="216000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11942</xdr:colOff>
      <xdr:row>2</xdr:row>
      <xdr:rowOff>64295</xdr:rowOff>
    </xdr:from>
    <xdr:to>
      <xdr:col>1</xdr:col>
      <xdr:colOff>1295400</xdr:colOff>
      <xdr:row>4</xdr:row>
      <xdr:rowOff>4763</xdr:rowOff>
    </xdr:to>
    <xdr:sp macro="[0]!Sort_Descendant_Jul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6EF47BE8-E5F8-4B9F-AAEA-7E9BDFC7355D}"/>
            </a:ext>
          </a:extLst>
        </xdr:cNvPr>
        <xdr:cNvSpPr/>
      </xdr:nvSpPr>
      <xdr:spPr>
        <a:xfrm>
          <a:off x="11942" y="445295"/>
          <a:ext cx="1445383" cy="321468"/>
        </a:xfrm>
        <a:prstGeom prst="roundRect">
          <a:avLst/>
        </a:prstGeom>
        <a:solidFill>
          <a:srgbClr val="FF2929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Les As de l'Absence</a:t>
          </a:r>
        </a:p>
      </xdr:txBody>
    </xdr:sp>
    <xdr:clientData/>
  </xdr:twoCellAnchor>
  <xdr:twoCellAnchor>
    <xdr:from>
      <xdr:col>1</xdr:col>
      <xdr:colOff>1343025</xdr:colOff>
      <xdr:row>2</xdr:row>
      <xdr:rowOff>66675</xdr:rowOff>
    </xdr:from>
    <xdr:to>
      <xdr:col>2</xdr:col>
      <xdr:colOff>314325</xdr:colOff>
      <xdr:row>4</xdr:row>
      <xdr:rowOff>0</xdr:rowOff>
    </xdr:to>
    <xdr:sp macro="[0]!Sort_Names_Jul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D54EE11-9AE4-45E6-9DDF-DA92B3BBCDAB}"/>
            </a:ext>
          </a:extLst>
        </xdr:cNvPr>
        <xdr:cNvSpPr/>
      </xdr:nvSpPr>
      <xdr:spPr>
        <a:xfrm>
          <a:off x="1504950" y="447675"/>
          <a:ext cx="1114425" cy="314325"/>
        </a:xfrm>
        <a:prstGeom prst="roundRect">
          <a:avLst/>
        </a:prstGeom>
        <a:solidFill>
          <a:srgbClr val="217346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/>
            <a:t>Nom de A à B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11942</xdr:colOff>
      <xdr:row>0</xdr:row>
      <xdr:rowOff>45245</xdr:rowOff>
    </xdr:from>
    <xdr:to>
      <xdr:col>1</xdr:col>
      <xdr:colOff>1177254</xdr:colOff>
      <xdr:row>1</xdr:row>
      <xdr:rowOff>176213</xdr:rowOff>
    </xdr:to>
    <xdr:sp macro="[0]!Hid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0DCCC66-F4E2-41AD-9B49-66FB60729D2F}"/>
            </a:ext>
          </a:extLst>
        </xdr:cNvPr>
        <xdr:cNvSpPr/>
      </xdr:nvSpPr>
      <xdr:spPr>
        <a:xfrm>
          <a:off x="11942" y="45245"/>
          <a:ext cx="1327237" cy="32146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Masquer</a:t>
          </a:r>
          <a:r>
            <a:rPr lang="en-US" sz="1600" b="1" baseline="0">
              <a:solidFill>
                <a:schemeClr val="bg1"/>
              </a:solidFill>
            </a:rPr>
            <a:t> col.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</xdr:col>
      <xdr:colOff>1212376</xdr:colOff>
      <xdr:row>0</xdr:row>
      <xdr:rowOff>45245</xdr:rowOff>
    </xdr:from>
    <xdr:to>
      <xdr:col>2</xdr:col>
      <xdr:colOff>324758</xdr:colOff>
      <xdr:row>1</xdr:row>
      <xdr:rowOff>176213</xdr:rowOff>
    </xdr:to>
    <xdr:sp macro="[0]!Unhid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4FDA3D70-2C03-4D71-9BEB-E4AC73771BEA}"/>
            </a:ext>
          </a:extLst>
        </xdr:cNvPr>
        <xdr:cNvSpPr/>
      </xdr:nvSpPr>
      <xdr:spPr>
        <a:xfrm>
          <a:off x="1374301" y="45245"/>
          <a:ext cx="1255507" cy="32146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Afficher</a:t>
          </a:r>
          <a:r>
            <a:rPr lang="en-US" sz="1600" b="1" baseline="0">
              <a:solidFill>
                <a:schemeClr val="bg1"/>
              </a:solidFill>
            </a:rPr>
            <a:t> col.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359876</xdr:colOff>
      <xdr:row>0</xdr:row>
      <xdr:rowOff>45245</xdr:rowOff>
    </xdr:from>
    <xdr:to>
      <xdr:col>2</xdr:col>
      <xdr:colOff>1367876</xdr:colOff>
      <xdr:row>1</xdr:row>
      <xdr:rowOff>176213</xdr:rowOff>
    </xdr:to>
    <xdr:sp macro="[0]!PrintAug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6064B7DB-9819-4B65-838E-1C94B5F597B7}"/>
            </a:ext>
          </a:extLst>
        </xdr:cNvPr>
        <xdr:cNvSpPr/>
      </xdr:nvSpPr>
      <xdr:spPr>
        <a:xfrm>
          <a:off x="2664926" y="45245"/>
          <a:ext cx="1008000" cy="32146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Imprimer</a:t>
          </a:r>
        </a:p>
      </xdr:txBody>
    </xdr:sp>
    <xdr:clientData/>
  </xdr:twoCellAnchor>
  <xdr:twoCellAnchor editAs="absolute">
    <xdr:from>
      <xdr:col>2</xdr:col>
      <xdr:colOff>359429</xdr:colOff>
      <xdr:row>2</xdr:row>
      <xdr:rowOff>54775</xdr:rowOff>
    </xdr:from>
    <xdr:to>
      <xdr:col>2</xdr:col>
      <xdr:colOff>791429</xdr:colOff>
      <xdr:row>3</xdr:row>
      <xdr:rowOff>185744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8948813A-F4FF-456F-853C-AC55D642371F}"/>
            </a:ext>
          </a:extLst>
        </xdr:cNvPr>
        <xdr:cNvGrpSpPr/>
      </xdr:nvGrpSpPr>
      <xdr:grpSpPr>
        <a:xfrm>
          <a:off x="2664479" y="435775"/>
          <a:ext cx="432000" cy="321469"/>
          <a:chOff x="3719545" y="54771"/>
          <a:chExt cx="432000" cy="321468"/>
        </a:xfrm>
      </xdr:grpSpPr>
      <xdr:sp macro="" textlink="">
        <xdr:nvSpPr>
          <xdr:cNvPr id="6" name="Rectangle : coins arrondi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6D1D2B2-6DCA-4937-B216-754CDF77F539}"/>
              </a:ext>
            </a:extLst>
          </xdr:cNvPr>
          <xdr:cNvSpPr/>
        </xdr:nvSpPr>
        <xdr:spPr>
          <a:xfrm>
            <a:off x="3719545" y="54771"/>
            <a:ext cx="432000" cy="321468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400" b="1">
              <a:solidFill>
                <a:schemeClr val="bg1"/>
              </a:solidFill>
            </a:endParaRPr>
          </a:p>
        </xdr:txBody>
      </xdr:sp>
      <xdr:pic>
        <xdr:nvPicPr>
          <xdr:cNvPr id="7" name="Image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6F4D42E-9758-4B3E-9BE6-853CE1C361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3"/>
              </a:ext>
            </a:extLst>
          </a:blip>
          <a:stretch>
            <a:fillRect/>
          </a:stretch>
        </xdr:blipFill>
        <xdr:spPr>
          <a:xfrm>
            <a:off x="3827545" y="130971"/>
            <a:ext cx="216000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923156</xdr:colOff>
      <xdr:row>2</xdr:row>
      <xdr:rowOff>69248</xdr:rowOff>
    </xdr:from>
    <xdr:to>
      <xdr:col>2</xdr:col>
      <xdr:colOff>1355156</xdr:colOff>
      <xdr:row>4</xdr:row>
      <xdr:rowOff>14046</xdr:rowOff>
    </xdr:to>
    <xdr:grpSp>
      <xdr:nvGrpSpPr>
        <xdr:cNvPr id="8" name="Group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DE55620-BAE1-4951-A19B-CE49C5315DFD}"/>
            </a:ext>
          </a:extLst>
        </xdr:cNvPr>
        <xdr:cNvGrpSpPr/>
      </xdr:nvGrpSpPr>
      <xdr:grpSpPr>
        <a:xfrm>
          <a:off x="3228206" y="450248"/>
          <a:ext cx="432000" cy="325798"/>
          <a:chOff x="2869390" y="557069"/>
          <a:chExt cx="432000" cy="325356"/>
        </a:xfrm>
      </xdr:grpSpPr>
      <xdr:sp macro="" textlink="">
        <xdr:nvSpPr>
          <xdr:cNvPr id="9" name="Rectangle : coins arrondis 8">
            <a:extLst>
              <a:ext uri="{FF2B5EF4-FFF2-40B4-BE49-F238E27FC236}">
                <a16:creationId xmlns:a16="http://schemas.microsoft.com/office/drawing/2014/main" id="{49F97FC9-37A9-4841-A722-29CB6BAB62EF}"/>
              </a:ext>
            </a:extLst>
          </xdr:cNvPr>
          <xdr:cNvSpPr/>
        </xdr:nvSpPr>
        <xdr:spPr>
          <a:xfrm>
            <a:off x="2869390" y="557069"/>
            <a:ext cx="432000" cy="325356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400" b="1">
              <a:solidFill>
                <a:schemeClr val="bg1"/>
              </a:solidFill>
            </a:endParaRPr>
          </a:p>
        </xdr:txBody>
      </xdr:sp>
      <xdr:pic>
        <xdr:nvPicPr>
          <xdr:cNvPr id="10" name="Image 9">
            <a:extLst>
              <a:ext uri="{FF2B5EF4-FFF2-40B4-BE49-F238E27FC236}">
                <a16:creationId xmlns:a16="http://schemas.microsoft.com/office/drawing/2014/main" id="{1C9D8F13-1DFF-4D56-A28B-90F80361D2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6"/>
              </a:ext>
            </a:extLst>
          </a:blip>
          <a:stretch>
            <a:fillRect/>
          </a:stretch>
        </xdr:blipFill>
        <xdr:spPr>
          <a:xfrm>
            <a:off x="2977390" y="631185"/>
            <a:ext cx="216000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11942</xdr:colOff>
      <xdr:row>2</xdr:row>
      <xdr:rowOff>64295</xdr:rowOff>
    </xdr:from>
    <xdr:to>
      <xdr:col>1</xdr:col>
      <xdr:colOff>1295400</xdr:colOff>
      <xdr:row>4</xdr:row>
      <xdr:rowOff>4763</xdr:rowOff>
    </xdr:to>
    <xdr:sp macro="[0]!Sort_Descendant_Aug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02D3D120-924C-4D17-9D78-33E39EC2A47C}"/>
            </a:ext>
          </a:extLst>
        </xdr:cNvPr>
        <xdr:cNvSpPr/>
      </xdr:nvSpPr>
      <xdr:spPr>
        <a:xfrm>
          <a:off x="11942" y="445295"/>
          <a:ext cx="1445383" cy="321468"/>
        </a:xfrm>
        <a:prstGeom prst="roundRect">
          <a:avLst/>
        </a:prstGeom>
        <a:solidFill>
          <a:srgbClr val="FF2929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Les As de l'Absence</a:t>
          </a:r>
        </a:p>
      </xdr:txBody>
    </xdr:sp>
    <xdr:clientData/>
  </xdr:twoCellAnchor>
  <xdr:twoCellAnchor>
    <xdr:from>
      <xdr:col>1</xdr:col>
      <xdr:colOff>1343025</xdr:colOff>
      <xdr:row>2</xdr:row>
      <xdr:rowOff>66675</xdr:rowOff>
    </xdr:from>
    <xdr:to>
      <xdr:col>2</xdr:col>
      <xdr:colOff>314325</xdr:colOff>
      <xdr:row>4</xdr:row>
      <xdr:rowOff>0</xdr:rowOff>
    </xdr:to>
    <xdr:sp macro="[0]!Sort_Names_Aug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8E1403E3-02A0-4ABB-998B-0479A9A280A0}"/>
            </a:ext>
          </a:extLst>
        </xdr:cNvPr>
        <xdr:cNvSpPr/>
      </xdr:nvSpPr>
      <xdr:spPr>
        <a:xfrm>
          <a:off x="1504950" y="447675"/>
          <a:ext cx="1114425" cy="314325"/>
        </a:xfrm>
        <a:prstGeom prst="roundRect">
          <a:avLst/>
        </a:prstGeom>
        <a:solidFill>
          <a:srgbClr val="217346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/>
            <a:t>Nom de A à B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11942</xdr:colOff>
      <xdr:row>0</xdr:row>
      <xdr:rowOff>45245</xdr:rowOff>
    </xdr:from>
    <xdr:to>
      <xdr:col>1</xdr:col>
      <xdr:colOff>1177254</xdr:colOff>
      <xdr:row>1</xdr:row>
      <xdr:rowOff>176213</xdr:rowOff>
    </xdr:to>
    <xdr:sp macro="[0]!Hid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9826CD32-5CD3-4A27-A064-E854C641454F}"/>
            </a:ext>
          </a:extLst>
        </xdr:cNvPr>
        <xdr:cNvSpPr/>
      </xdr:nvSpPr>
      <xdr:spPr>
        <a:xfrm>
          <a:off x="11942" y="45245"/>
          <a:ext cx="1327237" cy="32146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Masquer</a:t>
          </a:r>
          <a:r>
            <a:rPr lang="en-US" sz="1600" b="1" baseline="0">
              <a:solidFill>
                <a:schemeClr val="bg1"/>
              </a:solidFill>
            </a:rPr>
            <a:t> col.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</xdr:col>
      <xdr:colOff>1212376</xdr:colOff>
      <xdr:row>0</xdr:row>
      <xdr:rowOff>45245</xdr:rowOff>
    </xdr:from>
    <xdr:to>
      <xdr:col>2</xdr:col>
      <xdr:colOff>324758</xdr:colOff>
      <xdr:row>1</xdr:row>
      <xdr:rowOff>176213</xdr:rowOff>
    </xdr:to>
    <xdr:sp macro="[0]!Unhid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9B4C2689-2EC3-4EA0-886E-2AEF76748E54}"/>
            </a:ext>
          </a:extLst>
        </xdr:cNvPr>
        <xdr:cNvSpPr/>
      </xdr:nvSpPr>
      <xdr:spPr>
        <a:xfrm>
          <a:off x="1374301" y="45245"/>
          <a:ext cx="1255507" cy="32146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Afficher</a:t>
          </a:r>
          <a:r>
            <a:rPr lang="en-US" sz="1600" b="1" baseline="0">
              <a:solidFill>
                <a:schemeClr val="bg1"/>
              </a:solidFill>
            </a:rPr>
            <a:t> col.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359876</xdr:colOff>
      <xdr:row>0</xdr:row>
      <xdr:rowOff>45245</xdr:rowOff>
    </xdr:from>
    <xdr:to>
      <xdr:col>2</xdr:col>
      <xdr:colOff>1367876</xdr:colOff>
      <xdr:row>1</xdr:row>
      <xdr:rowOff>176213</xdr:rowOff>
    </xdr:to>
    <xdr:sp macro="[0]!PrintSep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AF36F06C-C5CA-4FFE-A884-1F540CA8CBA7}"/>
            </a:ext>
          </a:extLst>
        </xdr:cNvPr>
        <xdr:cNvSpPr/>
      </xdr:nvSpPr>
      <xdr:spPr>
        <a:xfrm>
          <a:off x="2664926" y="45245"/>
          <a:ext cx="1008000" cy="32146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Imprimer</a:t>
          </a:r>
        </a:p>
      </xdr:txBody>
    </xdr:sp>
    <xdr:clientData/>
  </xdr:twoCellAnchor>
  <xdr:twoCellAnchor editAs="absolute">
    <xdr:from>
      <xdr:col>2</xdr:col>
      <xdr:colOff>359429</xdr:colOff>
      <xdr:row>2</xdr:row>
      <xdr:rowOff>54775</xdr:rowOff>
    </xdr:from>
    <xdr:to>
      <xdr:col>2</xdr:col>
      <xdr:colOff>791429</xdr:colOff>
      <xdr:row>3</xdr:row>
      <xdr:rowOff>185744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2B4771E0-B108-4EB8-AB8D-13A9A3F367F4}"/>
            </a:ext>
          </a:extLst>
        </xdr:cNvPr>
        <xdr:cNvGrpSpPr/>
      </xdr:nvGrpSpPr>
      <xdr:grpSpPr>
        <a:xfrm>
          <a:off x="2664479" y="435775"/>
          <a:ext cx="432000" cy="321469"/>
          <a:chOff x="3719545" y="54771"/>
          <a:chExt cx="432000" cy="321468"/>
        </a:xfrm>
      </xdr:grpSpPr>
      <xdr:sp macro="" textlink="">
        <xdr:nvSpPr>
          <xdr:cNvPr id="6" name="Rectangle : coins arrondi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8BC80CD-7087-4992-B8DE-CC2D4B6BB2A6}"/>
              </a:ext>
            </a:extLst>
          </xdr:cNvPr>
          <xdr:cNvSpPr/>
        </xdr:nvSpPr>
        <xdr:spPr>
          <a:xfrm>
            <a:off x="3719545" y="54771"/>
            <a:ext cx="432000" cy="321468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400" b="1">
              <a:solidFill>
                <a:schemeClr val="bg1"/>
              </a:solidFill>
            </a:endParaRPr>
          </a:p>
        </xdr:txBody>
      </xdr:sp>
      <xdr:pic>
        <xdr:nvPicPr>
          <xdr:cNvPr id="7" name="Image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5C25BD1-49D8-4402-B719-4748306E99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3"/>
              </a:ext>
            </a:extLst>
          </a:blip>
          <a:stretch>
            <a:fillRect/>
          </a:stretch>
        </xdr:blipFill>
        <xdr:spPr>
          <a:xfrm>
            <a:off x="3827545" y="130971"/>
            <a:ext cx="216000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923156</xdr:colOff>
      <xdr:row>2</xdr:row>
      <xdr:rowOff>69248</xdr:rowOff>
    </xdr:from>
    <xdr:to>
      <xdr:col>2</xdr:col>
      <xdr:colOff>1355156</xdr:colOff>
      <xdr:row>4</xdr:row>
      <xdr:rowOff>14046</xdr:rowOff>
    </xdr:to>
    <xdr:grpSp>
      <xdr:nvGrpSpPr>
        <xdr:cNvPr id="8" name="Group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6D5F1BF-C579-48FC-9B0C-F3090EC55978}"/>
            </a:ext>
          </a:extLst>
        </xdr:cNvPr>
        <xdr:cNvGrpSpPr/>
      </xdr:nvGrpSpPr>
      <xdr:grpSpPr>
        <a:xfrm>
          <a:off x="3228206" y="450248"/>
          <a:ext cx="432000" cy="325798"/>
          <a:chOff x="2869390" y="557069"/>
          <a:chExt cx="432000" cy="325356"/>
        </a:xfrm>
      </xdr:grpSpPr>
      <xdr:sp macro="" textlink="">
        <xdr:nvSpPr>
          <xdr:cNvPr id="9" name="Rectangle : coins arrondis 8">
            <a:extLst>
              <a:ext uri="{FF2B5EF4-FFF2-40B4-BE49-F238E27FC236}">
                <a16:creationId xmlns:a16="http://schemas.microsoft.com/office/drawing/2014/main" id="{28AD50B7-E58D-4307-864A-F181070AE2B9}"/>
              </a:ext>
            </a:extLst>
          </xdr:cNvPr>
          <xdr:cNvSpPr/>
        </xdr:nvSpPr>
        <xdr:spPr>
          <a:xfrm>
            <a:off x="2869390" y="557069"/>
            <a:ext cx="432000" cy="325356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400" b="1">
              <a:solidFill>
                <a:schemeClr val="bg1"/>
              </a:solidFill>
            </a:endParaRPr>
          </a:p>
        </xdr:txBody>
      </xdr:sp>
      <xdr:pic>
        <xdr:nvPicPr>
          <xdr:cNvPr id="10" name="Image 9">
            <a:extLst>
              <a:ext uri="{FF2B5EF4-FFF2-40B4-BE49-F238E27FC236}">
                <a16:creationId xmlns:a16="http://schemas.microsoft.com/office/drawing/2014/main" id="{34934D29-EF41-4D89-9A29-6151C2BDDC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6"/>
              </a:ext>
            </a:extLst>
          </a:blip>
          <a:stretch>
            <a:fillRect/>
          </a:stretch>
        </xdr:blipFill>
        <xdr:spPr>
          <a:xfrm>
            <a:off x="2977390" y="631185"/>
            <a:ext cx="216000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11942</xdr:colOff>
      <xdr:row>2</xdr:row>
      <xdr:rowOff>64295</xdr:rowOff>
    </xdr:from>
    <xdr:to>
      <xdr:col>1</xdr:col>
      <xdr:colOff>1295400</xdr:colOff>
      <xdr:row>4</xdr:row>
      <xdr:rowOff>4763</xdr:rowOff>
    </xdr:to>
    <xdr:sp macro="[0]!Sort_Descendant_Sep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7B530799-917E-41CA-B657-83B9B8A16DD5}"/>
            </a:ext>
          </a:extLst>
        </xdr:cNvPr>
        <xdr:cNvSpPr/>
      </xdr:nvSpPr>
      <xdr:spPr>
        <a:xfrm>
          <a:off x="11942" y="445295"/>
          <a:ext cx="1445383" cy="321468"/>
        </a:xfrm>
        <a:prstGeom prst="roundRect">
          <a:avLst/>
        </a:prstGeom>
        <a:solidFill>
          <a:srgbClr val="FF2929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Les As de l'Absence</a:t>
          </a:r>
        </a:p>
      </xdr:txBody>
    </xdr:sp>
    <xdr:clientData/>
  </xdr:twoCellAnchor>
  <xdr:twoCellAnchor>
    <xdr:from>
      <xdr:col>1</xdr:col>
      <xdr:colOff>1343025</xdr:colOff>
      <xdr:row>2</xdr:row>
      <xdr:rowOff>66675</xdr:rowOff>
    </xdr:from>
    <xdr:to>
      <xdr:col>2</xdr:col>
      <xdr:colOff>314325</xdr:colOff>
      <xdr:row>4</xdr:row>
      <xdr:rowOff>0</xdr:rowOff>
    </xdr:to>
    <xdr:sp macro="[0]!Sort_Names_Sep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B0B9EF7-9D5D-417E-9663-F08146968E77}"/>
            </a:ext>
          </a:extLst>
        </xdr:cNvPr>
        <xdr:cNvSpPr/>
      </xdr:nvSpPr>
      <xdr:spPr>
        <a:xfrm>
          <a:off x="1504950" y="447675"/>
          <a:ext cx="1114425" cy="314325"/>
        </a:xfrm>
        <a:prstGeom prst="roundRect">
          <a:avLst/>
        </a:prstGeom>
        <a:solidFill>
          <a:srgbClr val="217346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/>
            <a:t>Nom de A à B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11942</xdr:colOff>
      <xdr:row>0</xdr:row>
      <xdr:rowOff>45245</xdr:rowOff>
    </xdr:from>
    <xdr:to>
      <xdr:col>1</xdr:col>
      <xdr:colOff>1177254</xdr:colOff>
      <xdr:row>1</xdr:row>
      <xdr:rowOff>176213</xdr:rowOff>
    </xdr:to>
    <xdr:sp macro="[0]!Hid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811352F-1881-4819-B303-910EC5339544}"/>
            </a:ext>
          </a:extLst>
        </xdr:cNvPr>
        <xdr:cNvSpPr/>
      </xdr:nvSpPr>
      <xdr:spPr>
        <a:xfrm>
          <a:off x="11942" y="45245"/>
          <a:ext cx="1327237" cy="32146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Masquer</a:t>
          </a:r>
          <a:r>
            <a:rPr lang="en-US" sz="1600" b="1" baseline="0">
              <a:solidFill>
                <a:schemeClr val="bg1"/>
              </a:solidFill>
            </a:rPr>
            <a:t> col.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</xdr:col>
      <xdr:colOff>1212376</xdr:colOff>
      <xdr:row>0</xdr:row>
      <xdr:rowOff>45245</xdr:rowOff>
    </xdr:from>
    <xdr:to>
      <xdr:col>2</xdr:col>
      <xdr:colOff>324758</xdr:colOff>
      <xdr:row>1</xdr:row>
      <xdr:rowOff>176213</xdr:rowOff>
    </xdr:to>
    <xdr:sp macro="[0]!Unhid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3273B081-92C1-4674-BAF2-37657735C0D7}"/>
            </a:ext>
          </a:extLst>
        </xdr:cNvPr>
        <xdr:cNvSpPr/>
      </xdr:nvSpPr>
      <xdr:spPr>
        <a:xfrm>
          <a:off x="1374301" y="45245"/>
          <a:ext cx="1255507" cy="32146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Afficher</a:t>
          </a:r>
          <a:r>
            <a:rPr lang="en-US" sz="1600" b="1" baseline="0">
              <a:solidFill>
                <a:schemeClr val="bg1"/>
              </a:solidFill>
            </a:rPr>
            <a:t> col.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359876</xdr:colOff>
      <xdr:row>0</xdr:row>
      <xdr:rowOff>45245</xdr:rowOff>
    </xdr:from>
    <xdr:to>
      <xdr:col>2</xdr:col>
      <xdr:colOff>1367876</xdr:colOff>
      <xdr:row>1</xdr:row>
      <xdr:rowOff>176213</xdr:rowOff>
    </xdr:to>
    <xdr:sp macro="[0]!PrintOct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C72B1DA-FB94-431A-BC16-1D14EE612F1E}"/>
            </a:ext>
          </a:extLst>
        </xdr:cNvPr>
        <xdr:cNvSpPr/>
      </xdr:nvSpPr>
      <xdr:spPr>
        <a:xfrm>
          <a:off x="2664926" y="45245"/>
          <a:ext cx="1008000" cy="32146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Imprimer</a:t>
          </a:r>
        </a:p>
      </xdr:txBody>
    </xdr:sp>
    <xdr:clientData/>
  </xdr:twoCellAnchor>
  <xdr:twoCellAnchor editAs="absolute">
    <xdr:from>
      <xdr:col>2</xdr:col>
      <xdr:colOff>359429</xdr:colOff>
      <xdr:row>2</xdr:row>
      <xdr:rowOff>54775</xdr:rowOff>
    </xdr:from>
    <xdr:to>
      <xdr:col>2</xdr:col>
      <xdr:colOff>791429</xdr:colOff>
      <xdr:row>3</xdr:row>
      <xdr:rowOff>185744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DEBE217-1C16-40D0-91EE-9C92B20248E2}"/>
            </a:ext>
          </a:extLst>
        </xdr:cNvPr>
        <xdr:cNvGrpSpPr/>
      </xdr:nvGrpSpPr>
      <xdr:grpSpPr>
        <a:xfrm>
          <a:off x="2664479" y="435775"/>
          <a:ext cx="432000" cy="321469"/>
          <a:chOff x="3719545" y="54771"/>
          <a:chExt cx="432000" cy="321468"/>
        </a:xfrm>
      </xdr:grpSpPr>
      <xdr:sp macro="" textlink="">
        <xdr:nvSpPr>
          <xdr:cNvPr id="6" name="Rectangle : coins arrondi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EC69D09-8429-4CA6-B27C-CF55CEFA6D37}"/>
              </a:ext>
            </a:extLst>
          </xdr:cNvPr>
          <xdr:cNvSpPr/>
        </xdr:nvSpPr>
        <xdr:spPr>
          <a:xfrm>
            <a:off x="3719545" y="54771"/>
            <a:ext cx="432000" cy="321468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400" b="1">
              <a:solidFill>
                <a:schemeClr val="bg1"/>
              </a:solidFill>
            </a:endParaRPr>
          </a:p>
        </xdr:txBody>
      </xdr:sp>
      <xdr:pic>
        <xdr:nvPicPr>
          <xdr:cNvPr id="7" name="Image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FB6070F-32B8-481E-B374-E7D0040CCE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3"/>
              </a:ext>
            </a:extLst>
          </a:blip>
          <a:stretch>
            <a:fillRect/>
          </a:stretch>
        </xdr:blipFill>
        <xdr:spPr>
          <a:xfrm>
            <a:off x="3827545" y="130971"/>
            <a:ext cx="216000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923156</xdr:colOff>
      <xdr:row>2</xdr:row>
      <xdr:rowOff>69248</xdr:rowOff>
    </xdr:from>
    <xdr:to>
      <xdr:col>2</xdr:col>
      <xdr:colOff>1355156</xdr:colOff>
      <xdr:row>4</xdr:row>
      <xdr:rowOff>14046</xdr:rowOff>
    </xdr:to>
    <xdr:grpSp>
      <xdr:nvGrpSpPr>
        <xdr:cNvPr id="8" name="Group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0F44301-935D-48AB-AB4F-7E9FFCB4665A}"/>
            </a:ext>
          </a:extLst>
        </xdr:cNvPr>
        <xdr:cNvGrpSpPr/>
      </xdr:nvGrpSpPr>
      <xdr:grpSpPr>
        <a:xfrm>
          <a:off x="3228206" y="450248"/>
          <a:ext cx="432000" cy="325798"/>
          <a:chOff x="2869390" y="557069"/>
          <a:chExt cx="432000" cy="325356"/>
        </a:xfrm>
      </xdr:grpSpPr>
      <xdr:sp macro="" textlink="">
        <xdr:nvSpPr>
          <xdr:cNvPr id="9" name="Rectangle : coins arrondis 8">
            <a:extLst>
              <a:ext uri="{FF2B5EF4-FFF2-40B4-BE49-F238E27FC236}">
                <a16:creationId xmlns:a16="http://schemas.microsoft.com/office/drawing/2014/main" id="{BDCF17C6-7FF5-4E46-8A55-4892E7AE2C60}"/>
              </a:ext>
            </a:extLst>
          </xdr:cNvPr>
          <xdr:cNvSpPr/>
        </xdr:nvSpPr>
        <xdr:spPr>
          <a:xfrm>
            <a:off x="2869390" y="557069"/>
            <a:ext cx="432000" cy="325356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400" b="1">
              <a:solidFill>
                <a:schemeClr val="bg1"/>
              </a:solidFill>
            </a:endParaRPr>
          </a:p>
        </xdr:txBody>
      </xdr:sp>
      <xdr:pic>
        <xdr:nvPicPr>
          <xdr:cNvPr id="10" name="Image 9">
            <a:extLst>
              <a:ext uri="{FF2B5EF4-FFF2-40B4-BE49-F238E27FC236}">
                <a16:creationId xmlns:a16="http://schemas.microsoft.com/office/drawing/2014/main" id="{42D538E3-C5D3-41FB-97AC-301B50204F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6"/>
              </a:ext>
            </a:extLst>
          </a:blip>
          <a:stretch>
            <a:fillRect/>
          </a:stretch>
        </xdr:blipFill>
        <xdr:spPr>
          <a:xfrm>
            <a:off x="2977390" y="631185"/>
            <a:ext cx="216000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11942</xdr:colOff>
      <xdr:row>2</xdr:row>
      <xdr:rowOff>64295</xdr:rowOff>
    </xdr:from>
    <xdr:to>
      <xdr:col>1</xdr:col>
      <xdr:colOff>1295400</xdr:colOff>
      <xdr:row>4</xdr:row>
      <xdr:rowOff>4763</xdr:rowOff>
    </xdr:to>
    <xdr:sp macro="[0]!Sort_Descendant_Oct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387825DC-D520-4CA9-B0E4-2771A8606F30}"/>
            </a:ext>
          </a:extLst>
        </xdr:cNvPr>
        <xdr:cNvSpPr/>
      </xdr:nvSpPr>
      <xdr:spPr>
        <a:xfrm>
          <a:off x="11942" y="445295"/>
          <a:ext cx="1445383" cy="321468"/>
        </a:xfrm>
        <a:prstGeom prst="roundRect">
          <a:avLst/>
        </a:prstGeom>
        <a:solidFill>
          <a:srgbClr val="FF2929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Les As de l'Absence</a:t>
          </a:r>
        </a:p>
      </xdr:txBody>
    </xdr:sp>
    <xdr:clientData/>
  </xdr:twoCellAnchor>
  <xdr:twoCellAnchor>
    <xdr:from>
      <xdr:col>1</xdr:col>
      <xdr:colOff>1343025</xdr:colOff>
      <xdr:row>2</xdr:row>
      <xdr:rowOff>66675</xdr:rowOff>
    </xdr:from>
    <xdr:to>
      <xdr:col>2</xdr:col>
      <xdr:colOff>314325</xdr:colOff>
      <xdr:row>4</xdr:row>
      <xdr:rowOff>0</xdr:rowOff>
    </xdr:to>
    <xdr:sp macro="[0]!Sort_Names_Oct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815D9E0B-AF04-4345-A874-3560DEA88C13}"/>
            </a:ext>
          </a:extLst>
        </xdr:cNvPr>
        <xdr:cNvSpPr/>
      </xdr:nvSpPr>
      <xdr:spPr>
        <a:xfrm>
          <a:off x="1504950" y="447675"/>
          <a:ext cx="1114425" cy="314325"/>
        </a:xfrm>
        <a:prstGeom prst="roundRect">
          <a:avLst/>
        </a:prstGeom>
        <a:solidFill>
          <a:srgbClr val="217346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/>
            <a:t>Nom de A à B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11942</xdr:colOff>
      <xdr:row>0</xdr:row>
      <xdr:rowOff>45245</xdr:rowOff>
    </xdr:from>
    <xdr:to>
      <xdr:col>1</xdr:col>
      <xdr:colOff>1177254</xdr:colOff>
      <xdr:row>1</xdr:row>
      <xdr:rowOff>176213</xdr:rowOff>
    </xdr:to>
    <xdr:sp macro="[0]!Hid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D786934-AFEE-4F4A-A97A-A03A85FE75D7}"/>
            </a:ext>
          </a:extLst>
        </xdr:cNvPr>
        <xdr:cNvSpPr/>
      </xdr:nvSpPr>
      <xdr:spPr>
        <a:xfrm>
          <a:off x="11942" y="45245"/>
          <a:ext cx="1327237" cy="32146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Masquer</a:t>
          </a:r>
          <a:r>
            <a:rPr lang="en-US" sz="1600" b="1" baseline="0">
              <a:solidFill>
                <a:schemeClr val="bg1"/>
              </a:solidFill>
            </a:rPr>
            <a:t> col.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</xdr:col>
      <xdr:colOff>1212376</xdr:colOff>
      <xdr:row>0</xdr:row>
      <xdr:rowOff>45245</xdr:rowOff>
    </xdr:from>
    <xdr:to>
      <xdr:col>2</xdr:col>
      <xdr:colOff>324758</xdr:colOff>
      <xdr:row>1</xdr:row>
      <xdr:rowOff>176213</xdr:rowOff>
    </xdr:to>
    <xdr:sp macro="[0]!Unhid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EB3B5C4E-F203-491B-8269-514CB05FD89B}"/>
            </a:ext>
          </a:extLst>
        </xdr:cNvPr>
        <xdr:cNvSpPr/>
      </xdr:nvSpPr>
      <xdr:spPr>
        <a:xfrm>
          <a:off x="1374301" y="45245"/>
          <a:ext cx="1255507" cy="32146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Afficher</a:t>
          </a:r>
          <a:r>
            <a:rPr lang="en-US" sz="1600" b="1" baseline="0">
              <a:solidFill>
                <a:schemeClr val="bg1"/>
              </a:solidFill>
            </a:rPr>
            <a:t> col.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359876</xdr:colOff>
      <xdr:row>0</xdr:row>
      <xdr:rowOff>45245</xdr:rowOff>
    </xdr:from>
    <xdr:to>
      <xdr:col>2</xdr:col>
      <xdr:colOff>1367876</xdr:colOff>
      <xdr:row>1</xdr:row>
      <xdr:rowOff>176213</xdr:rowOff>
    </xdr:to>
    <xdr:sp macro="[0]!PrintNo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3728E23E-1C74-4FBB-8922-811C492C8626}"/>
            </a:ext>
          </a:extLst>
        </xdr:cNvPr>
        <xdr:cNvSpPr/>
      </xdr:nvSpPr>
      <xdr:spPr>
        <a:xfrm>
          <a:off x="2664926" y="45245"/>
          <a:ext cx="1008000" cy="32146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Imprimer</a:t>
          </a:r>
        </a:p>
      </xdr:txBody>
    </xdr:sp>
    <xdr:clientData/>
  </xdr:twoCellAnchor>
  <xdr:twoCellAnchor editAs="absolute">
    <xdr:from>
      <xdr:col>2</xdr:col>
      <xdr:colOff>359429</xdr:colOff>
      <xdr:row>2</xdr:row>
      <xdr:rowOff>54775</xdr:rowOff>
    </xdr:from>
    <xdr:to>
      <xdr:col>2</xdr:col>
      <xdr:colOff>791429</xdr:colOff>
      <xdr:row>3</xdr:row>
      <xdr:rowOff>185744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4ADB354E-E858-4E14-8C6D-CF34F8081810}"/>
            </a:ext>
          </a:extLst>
        </xdr:cNvPr>
        <xdr:cNvGrpSpPr/>
      </xdr:nvGrpSpPr>
      <xdr:grpSpPr>
        <a:xfrm>
          <a:off x="2664479" y="435775"/>
          <a:ext cx="432000" cy="321469"/>
          <a:chOff x="3719545" y="54771"/>
          <a:chExt cx="432000" cy="321468"/>
        </a:xfrm>
      </xdr:grpSpPr>
      <xdr:sp macro="" textlink="">
        <xdr:nvSpPr>
          <xdr:cNvPr id="6" name="Rectangle : coins arrondi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367C158-6FF7-43B8-95E5-CC86CB240561}"/>
              </a:ext>
            </a:extLst>
          </xdr:cNvPr>
          <xdr:cNvSpPr/>
        </xdr:nvSpPr>
        <xdr:spPr>
          <a:xfrm>
            <a:off x="3719545" y="54771"/>
            <a:ext cx="432000" cy="321468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400" b="1">
              <a:solidFill>
                <a:schemeClr val="bg1"/>
              </a:solidFill>
            </a:endParaRPr>
          </a:p>
        </xdr:txBody>
      </xdr:sp>
      <xdr:pic>
        <xdr:nvPicPr>
          <xdr:cNvPr id="7" name="Image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CC501B9-0574-44FA-8989-723327435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3"/>
              </a:ext>
            </a:extLst>
          </a:blip>
          <a:stretch>
            <a:fillRect/>
          </a:stretch>
        </xdr:blipFill>
        <xdr:spPr>
          <a:xfrm>
            <a:off x="3827545" y="130971"/>
            <a:ext cx="216000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923156</xdr:colOff>
      <xdr:row>2</xdr:row>
      <xdr:rowOff>69248</xdr:rowOff>
    </xdr:from>
    <xdr:to>
      <xdr:col>2</xdr:col>
      <xdr:colOff>1355156</xdr:colOff>
      <xdr:row>4</xdr:row>
      <xdr:rowOff>14046</xdr:rowOff>
    </xdr:to>
    <xdr:grpSp>
      <xdr:nvGrpSpPr>
        <xdr:cNvPr id="8" name="Group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4E8823E-1A77-4326-956C-0A1F660A0362}"/>
            </a:ext>
          </a:extLst>
        </xdr:cNvPr>
        <xdr:cNvGrpSpPr/>
      </xdr:nvGrpSpPr>
      <xdr:grpSpPr>
        <a:xfrm>
          <a:off x="3228206" y="450248"/>
          <a:ext cx="432000" cy="325798"/>
          <a:chOff x="2869390" y="557069"/>
          <a:chExt cx="432000" cy="325356"/>
        </a:xfrm>
      </xdr:grpSpPr>
      <xdr:sp macro="" textlink="">
        <xdr:nvSpPr>
          <xdr:cNvPr id="9" name="Rectangle : coins arrondis 8">
            <a:extLst>
              <a:ext uri="{FF2B5EF4-FFF2-40B4-BE49-F238E27FC236}">
                <a16:creationId xmlns:a16="http://schemas.microsoft.com/office/drawing/2014/main" id="{D5B45624-16CC-4F4B-BE44-4597D63A5C3B}"/>
              </a:ext>
            </a:extLst>
          </xdr:cNvPr>
          <xdr:cNvSpPr/>
        </xdr:nvSpPr>
        <xdr:spPr>
          <a:xfrm>
            <a:off x="2869390" y="557069"/>
            <a:ext cx="432000" cy="325356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400" b="1">
              <a:solidFill>
                <a:schemeClr val="bg1"/>
              </a:solidFill>
            </a:endParaRPr>
          </a:p>
        </xdr:txBody>
      </xdr:sp>
      <xdr:pic>
        <xdr:nvPicPr>
          <xdr:cNvPr id="10" name="Image 9">
            <a:extLst>
              <a:ext uri="{FF2B5EF4-FFF2-40B4-BE49-F238E27FC236}">
                <a16:creationId xmlns:a16="http://schemas.microsoft.com/office/drawing/2014/main" id="{DC886BFA-F59F-4CA9-9196-805C2A7290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6"/>
              </a:ext>
            </a:extLst>
          </a:blip>
          <a:stretch>
            <a:fillRect/>
          </a:stretch>
        </xdr:blipFill>
        <xdr:spPr>
          <a:xfrm>
            <a:off x="2977390" y="631185"/>
            <a:ext cx="216000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11942</xdr:colOff>
      <xdr:row>2</xdr:row>
      <xdr:rowOff>64295</xdr:rowOff>
    </xdr:from>
    <xdr:to>
      <xdr:col>1</xdr:col>
      <xdr:colOff>1295400</xdr:colOff>
      <xdr:row>4</xdr:row>
      <xdr:rowOff>4763</xdr:rowOff>
    </xdr:to>
    <xdr:sp macro="[0]!Sort_Descendant_Nov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6A27E6FD-FF43-4724-811E-F67CC7EAFBB3}"/>
            </a:ext>
          </a:extLst>
        </xdr:cNvPr>
        <xdr:cNvSpPr/>
      </xdr:nvSpPr>
      <xdr:spPr>
        <a:xfrm>
          <a:off x="11942" y="445295"/>
          <a:ext cx="1445383" cy="321468"/>
        </a:xfrm>
        <a:prstGeom prst="roundRect">
          <a:avLst/>
        </a:prstGeom>
        <a:solidFill>
          <a:srgbClr val="FF2929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Les As de l'Absence</a:t>
          </a:r>
        </a:p>
      </xdr:txBody>
    </xdr:sp>
    <xdr:clientData/>
  </xdr:twoCellAnchor>
  <xdr:twoCellAnchor>
    <xdr:from>
      <xdr:col>1</xdr:col>
      <xdr:colOff>1343025</xdr:colOff>
      <xdr:row>2</xdr:row>
      <xdr:rowOff>66675</xdr:rowOff>
    </xdr:from>
    <xdr:to>
      <xdr:col>2</xdr:col>
      <xdr:colOff>314325</xdr:colOff>
      <xdr:row>4</xdr:row>
      <xdr:rowOff>0</xdr:rowOff>
    </xdr:to>
    <xdr:sp macro="[0]!Sort_Names_Nov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59CA1923-BA3A-4626-8940-A1E9039CD850}"/>
            </a:ext>
          </a:extLst>
        </xdr:cNvPr>
        <xdr:cNvSpPr/>
      </xdr:nvSpPr>
      <xdr:spPr>
        <a:xfrm>
          <a:off x="1504950" y="447675"/>
          <a:ext cx="1114425" cy="314325"/>
        </a:xfrm>
        <a:prstGeom prst="roundRect">
          <a:avLst/>
        </a:prstGeom>
        <a:solidFill>
          <a:srgbClr val="217346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/>
            <a:t>Nom de A à B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11942</xdr:colOff>
      <xdr:row>0</xdr:row>
      <xdr:rowOff>45245</xdr:rowOff>
    </xdr:from>
    <xdr:to>
      <xdr:col>1</xdr:col>
      <xdr:colOff>1177254</xdr:colOff>
      <xdr:row>1</xdr:row>
      <xdr:rowOff>176213</xdr:rowOff>
    </xdr:to>
    <xdr:sp macro="[0]!Hid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96EB22C-D05A-48D8-856C-85ABDC320ACF}"/>
            </a:ext>
          </a:extLst>
        </xdr:cNvPr>
        <xdr:cNvSpPr/>
      </xdr:nvSpPr>
      <xdr:spPr>
        <a:xfrm>
          <a:off x="11942" y="45245"/>
          <a:ext cx="1327237" cy="32146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Masquer</a:t>
          </a:r>
          <a:r>
            <a:rPr lang="en-US" sz="1600" b="1" baseline="0">
              <a:solidFill>
                <a:schemeClr val="bg1"/>
              </a:solidFill>
            </a:rPr>
            <a:t> col.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</xdr:col>
      <xdr:colOff>1212376</xdr:colOff>
      <xdr:row>0</xdr:row>
      <xdr:rowOff>45245</xdr:rowOff>
    </xdr:from>
    <xdr:to>
      <xdr:col>2</xdr:col>
      <xdr:colOff>324758</xdr:colOff>
      <xdr:row>1</xdr:row>
      <xdr:rowOff>176213</xdr:rowOff>
    </xdr:to>
    <xdr:sp macro="[0]!Unhid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15EACAB2-3610-4AF9-B64B-D323E058D637}"/>
            </a:ext>
          </a:extLst>
        </xdr:cNvPr>
        <xdr:cNvSpPr/>
      </xdr:nvSpPr>
      <xdr:spPr>
        <a:xfrm>
          <a:off x="1374301" y="45245"/>
          <a:ext cx="1255507" cy="32146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Afficher</a:t>
          </a:r>
          <a:r>
            <a:rPr lang="en-US" sz="1600" b="1" baseline="0">
              <a:solidFill>
                <a:schemeClr val="bg1"/>
              </a:solidFill>
            </a:rPr>
            <a:t> col.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359876</xdr:colOff>
      <xdr:row>0</xdr:row>
      <xdr:rowOff>45245</xdr:rowOff>
    </xdr:from>
    <xdr:to>
      <xdr:col>2</xdr:col>
      <xdr:colOff>1367876</xdr:colOff>
      <xdr:row>1</xdr:row>
      <xdr:rowOff>176213</xdr:rowOff>
    </xdr:to>
    <xdr:sp macro="[0]!PrintDec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C40BDA6-A35F-4A34-AC5C-0017AFFB4841}"/>
            </a:ext>
          </a:extLst>
        </xdr:cNvPr>
        <xdr:cNvSpPr/>
      </xdr:nvSpPr>
      <xdr:spPr>
        <a:xfrm>
          <a:off x="2664926" y="45245"/>
          <a:ext cx="1008000" cy="32146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Imprimer</a:t>
          </a:r>
        </a:p>
      </xdr:txBody>
    </xdr:sp>
    <xdr:clientData/>
  </xdr:twoCellAnchor>
  <xdr:twoCellAnchor editAs="absolute">
    <xdr:from>
      <xdr:col>2</xdr:col>
      <xdr:colOff>359429</xdr:colOff>
      <xdr:row>2</xdr:row>
      <xdr:rowOff>54775</xdr:rowOff>
    </xdr:from>
    <xdr:to>
      <xdr:col>2</xdr:col>
      <xdr:colOff>791429</xdr:colOff>
      <xdr:row>3</xdr:row>
      <xdr:rowOff>185744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E8743DA4-F51F-4616-9CC4-F26AE029EF34}"/>
            </a:ext>
          </a:extLst>
        </xdr:cNvPr>
        <xdr:cNvGrpSpPr/>
      </xdr:nvGrpSpPr>
      <xdr:grpSpPr>
        <a:xfrm>
          <a:off x="2664479" y="435775"/>
          <a:ext cx="432000" cy="321469"/>
          <a:chOff x="3719545" y="54771"/>
          <a:chExt cx="432000" cy="321468"/>
        </a:xfrm>
      </xdr:grpSpPr>
      <xdr:sp macro="" textlink="">
        <xdr:nvSpPr>
          <xdr:cNvPr id="6" name="Rectangle : coins arrondi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D9954ED-873D-46C5-AAF9-5A1A8CF3C9C2}"/>
              </a:ext>
            </a:extLst>
          </xdr:cNvPr>
          <xdr:cNvSpPr/>
        </xdr:nvSpPr>
        <xdr:spPr>
          <a:xfrm>
            <a:off x="3719545" y="54771"/>
            <a:ext cx="432000" cy="321468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400" b="1">
              <a:solidFill>
                <a:schemeClr val="bg1"/>
              </a:solidFill>
            </a:endParaRPr>
          </a:p>
        </xdr:txBody>
      </xdr:sp>
      <xdr:pic>
        <xdr:nvPicPr>
          <xdr:cNvPr id="7" name="Image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8689E2B-31B7-4BCE-BAEE-02B4AEC33A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3"/>
              </a:ext>
            </a:extLst>
          </a:blip>
          <a:stretch>
            <a:fillRect/>
          </a:stretch>
        </xdr:blipFill>
        <xdr:spPr>
          <a:xfrm>
            <a:off x="3827545" y="130971"/>
            <a:ext cx="216000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923156</xdr:colOff>
      <xdr:row>2</xdr:row>
      <xdr:rowOff>69248</xdr:rowOff>
    </xdr:from>
    <xdr:to>
      <xdr:col>2</xdr:col>
      <xdr:colOff>1355156</xdr:colOff>
      <xdr:row>4</xdr:row>
      <xdr:rowOff>14046</xdr:rowOff>
    </xdr:to>
    <xdr:grpSp>
      <xdr:nvGrpSpPr>
        <xdr:cNvPr id="8" name="Group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2FF293-C8D6-44A1-969E-3D72705EECBB}"/>
            </a:ext>
          </a:extLst>
        </xdr:cNvPr>
        <xdr:cNvGrpSpPr/>
      </xdr:nvGrpSpPr>
      <xdr:grpSpPr>
        <a:xfrm>
          <a:off x="3228206" y="450248"/>
          <a:ext cx="432000" cy="325798"/>
          <a:chOff x="2869390" y="557069"/>
          <a:chExt cx="432000" cy="325356"/>
        </a:xfrm>
      </xdr:grpSpPr>
      <xdr:sp macro="" textlink="">
        <xdr:nvSpPr>
          <xdr:cNvPr id="9" name="Rectangle : coins arrondis 8">
            <a:extLst>
              <a:ext uri="{FF2B5EF4-FFF2-40B4-BE49-F238E27FC236}">
                <a16:creationId xmlns:a16="http://schemas.microsoft.com/office/drawing/2014/main" id="{0BFD088C-384E-44ED-BEFE-7CD6FCDC4AE5}"/>
              </a:ext>
            </a:extLst>
          </xdr:cNvPr>
          <xdr:cNvSpPr/>
        </xdr:nvSpPr>
        <xdr:spPr>
          <a:xfrm>
            <a:off x="2869390" y="557069"/>
            <a:ext cx="432000" cy="325356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400" b="1">
              <a:solidFill>
                <a:schemeClr val="bg1"/>
              </a:solidFill>
            </a:endParaRPr>
          </a:p>
        </xdr:txBody>
      </xdr:sp>
      <xdr:pic>
        <xdr:nvPicPr>
          <xdr:cNvPr id="10" name="Image 9">
            <a:extLst>
              <a:ext uri="{FF2B5EF4-FFF2-40B4-BE49-F238E27FC236}">
                <a16:creationId xmlns:a16="http://schemas.microsoft.com/office/drawing/2014/main" id="{30D7D5AD-E7C4-4FBA-B5A7-626AAAD6F4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6"/>
              </a:ext>
            </a:extLst>
          </a:blip>
          <a:stretch>
            <a:fillRect/>
          </a:stretch>
        </xdr:blipFill>
        <xdr:spPr>
          <a:xfrm>
            <a:off x="2977390" y="631185"/>
            <a:ext cx="216000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11942</xdr:colOff>
      <xdr:row>2</xdr:row>
      <xdr:rowOff>64295</xdr:rowOff>
    </xdr:from>
    <xdr:to>
      <xdr:col>1</xdr:col>
      <xdr:colOff>1295400</xdr:colOff>
      <xdr:row>4</xdr:row>
      <xdr:rowOff>4763</xdr:rowOff>
    </xdr:to>
    <xdr:sp macro="[0]!Sort_Descendant_Dec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46D03946-A605-466B-9AAD-A7D24CFD7990}"/>
            </a:ext>
          </a:extLst>
        </xdr:cNvPr>
        <xdr:cNvSpPr/>
      </xdr:nvSpPr>
      <xdr:spPr>
        <a:xfrm>
          <a:off x="11942" y="445295"/>
          <a:ext cx="1445383" cy="321468"/>
        </a:xfrm>
        <a:prstGeom prst="roundRect">
          <a:avLst/>
        </a:prstGeom>
        <a:solidFill>
          <a:srgbClr val="FF2929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Les As de l'Absence</a:t>
          </a:r>
        </a:p>
      </xdr:txBody>
    </xdr:sp>
    <xdr:clientData/>
  </xdr:twoCellAnchor>
  <xdr:twoCellAnchor>
    <xdr:from>
      <xdr:col>1</xdr:col>
      <xdr:colOff>1343025</xdr:colOff>
      <xdr:row>2</xdr:row>
      <xdr:rowOff>66675</xdr:rowOff>
    </xdr:from>
    <xdr:to>
      <xdr:col>2</xdr:col>
      <xdr:colOff>314325</xdr:colOff>
      <xdr:row>4</xdr:row>
      <xdr:rowOff>0</xdr:rowOff>
    </xdr:to>
    <xdr:sp macro="[0]!Sort_Names_Dec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72AE4942-8B77-4226-8DE1-896CC6AF6743}"/>
            </a:ext>
          </a:extLst>
        </xdr:cNvPr>
        <xdr:cNvSpPr/>
      </xdr:nvSpPr>
      <xdr:spPr>
        <a:xfrm>
          <a:off x="1504950" y="447675"/>
          <a:ext cx="1114425" cy="314325"/>
        </a:xfrm>
        <a:prstGeom prst="roundRect">
          <a:avLst/>
        </a:prstGeom>
        <a:solidFill>
          <a:srgbClr val="217346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/>
            <a:t>Nom de A à 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8939F-FADE-4EF4-B361-C645DEBE7B20}">
  <sheetPr codeName="Feuil15"/>
  <dimension ref="A1"/>
  <sheetViews>
    <sheetView tabSelected="1" workbookViewId="0">
      <selection activeCell="B10" sqref="B10"/>
    </sheetView>
  </sheetViews>
  <sheetFormatPr defaultColWidth="11.42578125" defaultRowHeight="15"/>
  <cols>
    <col min="1" max="16384" width="11.42578125" style="22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2C8DE-CD7F-4103-8D92-FD27610641CC}">
  <sheetPr codeName="Feuil2"/>
  <dimension ref="B1:BQ57"/>
  <sheetViews>
    <sheetView showGridLines="0" showRowColHeaders="0" zoomScaleNormal="100" workbookViewId="0">
      <pane xSplit="3" ySplit="9" topLeftCell="D10" activePane="bottomRight" state="frozen"/>
      <selection pane="bottomRight" activeCell="BX19" sqref="BX19"/>
      <selection pane="bottomLeft" activeCell="CC17" sqref="CC17"/>
      <selection pane="topRight" activeCell="CC17" sqref="CC17"/>
    </sheetView>
  </sheetViews>
  <sheetFormatPr defaultColWidth="11.42578125" defaultRowHeight="15"/>
  <cols>
    <col min="1" max="1" width="2.42578125" customWidth="1"/>
    <col min="2" max="2" width="32.140625" style="6" customWidth="1"/>
    <col min="3" max="3" width="22.42578125" style="6" customWidth="1"/>
    <col min="4" max="65" width="3.7109375" hidden="1" customWidth="1"/>
    <col min="66" max="66" width="4.42578125" bestFit="1" customWidth="1"/>
    <col min="67" max="67" width="4.28515625" customWidth="1"/>
    <col min="68" max="68" width="7.42578125" bestFit="1" customWidth="1"/>
    <col min="69" max="69" width="7.7109375" customWidth="1"/>
    <col min="70" max="105" width="3.7109375" customWidth="1"/>
  </cols>
  <sheetData>
    <row r="1" spans="2:69">
      <c r="H1" s="4" t="s">
        <v>0</v>
      </c>
      <c r="I1" t="s">
        <v>1</v>
      </c>
      <c r="N1" t="s">
        <v>2</v>
      </c>
      <c r="O1" t="s">
        <v>3</v>
      </c>
    </row>
    <row r="2" spans="2:69">
      <c r="H2" s="5" t="s">
        <v>4</v>
      </c>
      <c r="I2" t="s">
        <v>5</v>
      </c>
      <c r="N2" t="s">
        <v>6</v>
      </c>
      <c r="O2" t="s">
        <v>7</v>
      </c>
    </row>
    <row r="3" spans="2:69">
      <c r="N3" t="s">
        <v>8</v>
      </c>
      <c r="O3" t="s">
        <v>9</v>
      </c>
    </row>
    <row r="4" spans="2:69">
      <c r="B4" s="12"/>
      <c r="C4" s="12"/>
    </row>
    <row r="5" spans="2:69" s="2" customFormat="1">
      <c r="B5" s="13"/>
      <c r="C5" s="13"/>
      <c r="D5" s="45">
        <v>1</v>
      </c>
      <c r="E5" s="45"/>
      <c r="F5" s="45">
        <v>2</v>
      </c>
      <c r="G5" s="45"/>
      <c r="H5" s="45">
        <v>3</v>
      </c>
      <c r="I5" s="45"/>
      <c r="J5" s="45">
        <v>4</v>
      </c>
      <c r="K5" s="45"/>
      <c r="L5" s="45">
        <v>5</v>
      </c>
      <c r="M5" s="45"/>
      <c r="N5" s="45">
        <v>6</v>
      </c>
      <c r="O5" s="45"/>
      <c r="P5" s="45">
        <v>7</v>
      </c>
      <c r="Q5" s="45"/>
      <c r="R5" s="45">
        <v>8</v>
      </c>
      <c r="S5" s="45"/>
      <c r="T5" s="45">
        <v>9</v>
      </c>
      <c r="U5" s="45"/>
      <c r="V5" s="45">
        <v>10</v>
      </c>
      <c r="W5" s="45"/>
      <c r="X5" s="45">
        <v>11</v>
      </c>
      <c r="Y5" s="45"/>
      <c r="Z5" s="45">
        <v>12</v>
      </c>
      <c r="AA5" s="45"/>
      <c r="AB5" s="45">
        <v>13</v>
      </c>
      <c r="AC5" s="45"/>
      <c r="AD5" s="45">
        <v>14</v>
      </c>
      <c r="AE5" s="45"/>
      <c r="AF5" s="45">
        <v>15</v>
      </c>
      <c r="AG5" s="45"/>
      <c r="AH5" s="45">
        <v>16</v>
      </c>
      <c r="AI5" s="45"/>
      <c r="AJ5" s="45">
        <v>17</v>
      </c>
      <c r="AK5" s="45"/>
      <c r="AL5" s="45">
        <v>18</v>
      </c>
      <c r="AM5" s="45"/>
      <c r="AN5" s="45">
        <v>19</v>
      </c>
      <c r="AO5" s="45"/>
      <c r="AP5" s="45">
        <v>20</v>
      </c>
      <c r="AQ5" s="45"/>
      <c r="AR5" s="45">
        <v>21</v>
      </c>
      <c r="AS5" s="45"/>
      <c r="AT5" s="45">
        <v>22</v>
      </c>
      <c r="AU5" s="45"/>
      <c r="AV5" s="45">
        <v>23</v>
      </c>
      <c r="AW5" s="45"/>
      <c r="AX5" s="45">
        <v>24</v>
      </c>
      <c r="AY5" s="45"/>
      <c r="AZ5" s="45">
        <v>25</v>
      </c>
      <c r="BA5" s="45"/>
      <c r="BB5" s="45">
        <v>26</v>
      </c>
      <c r="BC5" s="45"/>
      <c r="BD5" s="45">
        <v>27</v>
      </c>
      <c r="BE5" s="45"/>
      <c r="BF5" s="45">
        <v>28</v>
      </c>
      <c r="BG5" s="45"/>
      <c r="BH5" s="45">
        <v>29</v>
      </c>
      <c r="BI5" s="45"/>
      <c r="BJ5" s="45">
        <v>30</v>
      </c>
      <c r="BK5" s="45"/>
      <c r="BL5" s="45">
        <v>31</v>
      </c>
      <c r="BM5" s="45"/>
      <c r="BQ5" s="6" t="s">
        <v>10</v>
      </c>
    </row>
    <row r="6" spans="2:69">
      <c r="D6" s="46" t="str">
        <f>TEXT(WEEKDAY(DATE($BQ$6,1,D$5),1),"jjj")</f>
        <v>mer.</v>
      </c>
      <c r="E6" s="46"/>
      <c r="F6" s="46" t="str">
        <f t="shared" ref="F6:AK6" si="0">TEXT(WEEKDAY(DATE($BQ$6,1,F$5),1),"jjj")</f>
        <v>jeu.</v>
      </c>
      <c r="G6" s="46"/>
      <c r="H6" s="46" t="str">
        <f t="shared" ref="H6:AM6" si="1">TEXT(WEEKDAY(DATE($BQ$6,1,H$5),1),"jjj")</f>
        <v>ven.</v>
      </c>
      <c r="I6" s="46"/>
      <c r="J6" s="46" t="str">
        <f t="shared" ref="J6:AO6" si="2">TEXT(WEEKDAY(DATE($BQ$6,1,J$5),1),"jjj")</f>
        <v>sam.</v>
      </c>
      <c r="K6" s="46"/>
      <c r="L6" s="46" t="str">
        <f t="shared" ref="L6:AQ6" si="3">TEXT(WEEKDAY(DATE($BQ$6,1,L$5),1),"jjj")</f>
        <v>dim.</v>
      </c>
      <c r="M6" s="46"/>
      <c r="N6" s="46" t="str">
        <f t="shared" ref="N6:AS6" si="4">TEXT(WEEKDAY(DATE($BQ$6,1,N$5),1),"jjj")</f>
        <v>lun.</v>
      </c>
      <c r="O6" s="46"/>
      <c r="P6" s="46" t="str">
        <f t="shared" ref="P6:AU6" si="5">TEXT(WEEKDAY(DATE($BQ$6,1,P$5),1),"jjj")</f>
        <v>mar.</v>
      </c>
      <c r="Q6" s="46"/>
      <c r="R6" s="46" t="str">
        <f t="shared" ref="R6:BM6" si="6">TEXT(WEEKDAY(DATE($BQ$6,1,R$5),1),"jjj")</f>
        <v>mer.</v>
      </c>
      <c r="S6" s="46"/>
      <c r="T6" s="46" t="str">
        <f t="shared" ref="T6:BM6" si="7">TEXT(WEEKDAY(DATE($BQ$6,1,T$5),1),"jjj")</f>
        <v>jeu.</v>
      </c>
      <c r="U6" s="46"/>
      <c r="V6" s="46" t="str">
        <f t="shared" ref="V6:BM6" si="8">TEXT(WEEKDAY(DATE($BQ$6,1,V$5),1),"jjj")</f>
        <v>ven.</v>
      </c>
      <c r="W6" s="46"/>
      <c r="X6" s="46" t="str">
        <f t="shared" ref="X6:BM6" si="9">TEXT(WEEKDAY(DATE($BQ$6,1,X$5),1),"jjj")</f>
        <v>sam.</v>
      </c>
      <c r="Y6" s="46"/>
      <c r="Z6" s="46" t="str">
        <f t="shared" ref="Z6:BM6" si="10">TEXT(WEEKDAY(DATE($BQ$6,1,Z$5),1),"jjj")</f>
        <v>dim.</v>
      </c>
      <c r="AA6" s="46"/>
      <c r="AB6" s="46" t="str">
        <f t="shared" ref="AB6:BM6" si="11">TEXT(WEEKDAY(DATE($BQ$6,1,AB$5),1),"jjj")</f>
        <v>lun.</v>
      </c>
      <c r="AC6" s="46"/>
      <c r="AD6" s="46" t="str">
        <f t="shared" ref="AD6:BM6" si="12">TEXT(WEEKDAY(DATE($BQ$6,1,AD$5),1),"jjj")</f>
        <v>mar.</v>
      </c>
      <c r="AE6" s="46"/>
      <c r="AF6" s="46" t="str">
        <f t="shared" ref="AF6:BM6" si="13">TEXT(WEEKDAY(DATE($BQ$6,1,AF$5),1),"jjj")</f>
        <v>mer.</v>
      </c>
      <c r="AG6" s="46"/>
      <c r="AH6" s="46" t="str">
        <f t="shared" ref="AH6:BM6" si="14">TEXT(WEEKDAY(DATE($BQ$6,1,AH$5),1),"jjj")</f>
        <v>jeu.</v>
      </c>
      <c r="AI6" s="46"/>
      <c r="AJ6" s="46" t="str">
        <f t="shared" ref="AJ6:BM6" si="15">TEXT(WEEKDAY(DATE($BQ$6,1,AJ$5),1),"jjj")</f>
        <v>ven.</v>
      </c>
      <c r="AK6" s="46"/>
      <c r="AL6" s="46" t="str">
        <f t="shared" ref="AL6:BM6" si="16">TEXT(WEEKDAY(DATE($BQ$6,1,AL$5),1),"jjj")</f>
        <v>sam.</v>
      </c>
      <c r="AM6" s="46"/>
      <c r="AN6" s="46" t="str">
        <f t="shared" ref="AN6:BM6" si="17">TEXT(WEEKDAY(DATE($BQ$6,1,AN$5),1),"jjj")</f>
        <v>dim.</v>
      </c>
      <c r="AO6" s="46"/>
      <c r="AP6" s="46" t="str">
        <f t="shared" ref="AP6:BM6" si="18">TEXT(WEEKDAY(DATE($BQ$6,1,AP$5),1),"jjj")</f>
        <v>lun.</v>
      </c>
      <c r="AQ6" s="46"/>
      <c r="AR6" s="46" t="str">
        <f t="shared" ref="AR6:BM6" si="19">TEXT(WEEKDAY(DATE($BQ$6,1,AR$5),1),"jjj")</f>
        <v>mar.</v>
      </c>
      <c r="AS6" s="46"/>
      <c r="AT6" s="46" t="str">
        <f t="shared" ref="AT6:BM6" si="20">TEXT(WEEKDAY(DATE($BQ$6,1,AT$5),1),"jjj")</f>
        <v>mer.</v>
      </c>
      <c r="AU6" s="46"/>
      <c r="AV6" s="46" t="str">
        <f t="shared" ref="AV6:BM6" si="21">TEXT(WEEKDAY(DATE($BQ$6,1,AV$5),1),"jjj")</f>
        <v>jeu.</v>
      </c>
      <c r="AW6" s="46"/>
      <c r="AX6" s="46" t="str">
        <f t="shared" ref="AX6:BM6" si="22">TEXT(WEEKDAY(DATE($BQ$6,1,AX$5),1),"jjj")</f>
        <v>ven.</v>
      </c>
      <c r="AY6" s="46"/>
      <c r="AZ6" s="46" t="str">
        <f t="shared" ref="AZ6:BM6" si="23">TEXT(WEEKDAY(DATE($BQ$6,1,AZ$5),1),"jjj")</f>
        <v>sam.</v>
      </c>
      <c r="BA6" s="46"/>
      <c r="BB6" s="46" t="str">
        <f t="shared" ref="BB6:BM6" si="24">TEXT(WEEKDAY(DATE($BQ$6,1,BB$5),1),"jjj")</f>
        <v>dim.</v>
      </c>
      <c r="BC6" s="46"/>
      <c r="BD6" s="46" t="str">
        <f t="shared" ref="BD6:BM6" si="25">TEXT(WEEKDAY(DATE($BQ$6,1,BD$5),1),"jjj")</f>
        <v>lun.</v>
      </c>
      <c r="BE6" s="46"/>
      <c r="BF6" s="46" t="str">
        <f t="shared" ref="BF6:BM6" si="26">TEXT(WEEKDAY(DATE($BQ$6,1,BF$5),1),"jjj")</f>
        <v>mar.</v>
      </c>
      <c r="BG6" s="46"/>
      <c r="BH6" s="46" t="str">
        <f t="shared" ref="BH6:BM6" si="27">TEXT(WEEKDAY(DATE($BQ$6,1,BH$5),1),"jjj")</f>
        <v>mer.</v>
      </c>
      <c r="BI6" s="46"/>
      <c r="BJ6" s="46" t="str">
        <f t="shared" ref="BJ6:BM6" si="28">TEXT(WEEKDAY(DATE($BQ$6,1,BJ$5),1),"jjj")</f>
        <v>jeu.</v>
      </c>
      <c r="BK6" s="46"/>
      <c r="BL6" s="46" t="str">
        <f t="shared" ref="BL6:BM6" si="29">TEXT(WEEKDAY(DATE($BQ$6,1,BL$5),1),"jjj")</f>
        <v>ven.</v>
      </c>
      <c r="BM6" s="46"/>
      <c r="BN6" s="36" t="s">
        <v>11</v>
      </c>
      <c r="BO6" s="14"/>
      <c r="BP6" s="14"/>
      <c r="BQ6" s="37">
        <v>2020</v>
      </c>
    </row>
    <row r="7" spans="2:69">
      <c r="B7" s="38" t="s">
        <v>12</v>
      </c>
      <c r="C7" s="1"/>
      <c r="D7" s="47">
        <v>1</v>
      </c>
      <c r="E7" s="48"/>
      <c r="F7" s="47">
        <v>2</v>
      </c>
      <c r="G7" s="48"/>
      <c r="H7" s="47">
        <v>3</v>
      </c>
      <c r="I7" s="48"/>
      <c r="J7" s="47">
        <v>4</v>
      </c>
      <c r="K7" s="48"/>
      <c r="L7" s="47">
        <v>5</v>
      </c>
      <c r="M7" s="48"/>
      <c r="N7" s="47">
        <v>6</v>
      </c>
      <c r="O7" s="48"/>
      <c r="P7" s="47">
        <v>7</v>
      </c>
      <c r="Q7" s="48"/>
      <c r="R7" s="47">
        <v>8</v>
      </c>
      <c r="S7" s="48"/>
      <c r="T7" s="47">
        <v>9</v>
      </c>
      <c r="U7" s="48"/>
      <c r="V7" s="47">
        <v>10</v>
      </c>
      <c r="W7" s="48"/>
      <c r="X7" s="47">
        <v>11</v>
      </c>
      <c r="Y7" s="48"/>
      <c r="Z7" s="47">
        <v>12</v>
      </c>
      <c r="AA7" s="48"/>
      <c r="AB7" s="47">
        <v>13</v>
      </c>
      <c r="AC7" s="48"/>
      <c r="AD7" s="47">
        <v>14</v>
      </c>
      <c r="AE7" s="48"/>
      <c r="AF7" s="47">
        <v>15</v>
      </c>
      <c r="AG7" s="48"/>
      <c r="AH7" s="47">
        <v>16</v>
      </c>
      <c r="AI7" s="48"/>
      <c r="AJ7" s="47">
        <v>17</v>
      </c>
      <c r="AK7" s="48"/>
      <c r="AL7" s="47">
        <v>18</v>
      </c>
      <c r="AM7" s="48"/>
      <c r="AN7" s="47">
        <v>19</v>
      </c>
      <c r="AO7" s="48"/>
      <c r="AP7" s="47">
        <v>20</v>
      </c>
      <c r="AQ7" s="48"/>
      <c r="AR7" s="47">
        <v>21</v>
      </c>
      <c r="AS7" s="48"/>
      <c r="AT7" s="47">
        <v>22</v>
      </c>
      <c r="AU7" s="48"/>
      <c r="AV7" s="47">
        <v>23</v>
      </c>
      <c r="AW7" s="48"/>
      <c r="AX7" s="47">
        <v>24</v>
      </c>
      <c r="AY7" s="48"/>
      <c r="AZ7" s="47">
        <v>25</v>
      </c>
      <c r="BA7" s="48"/>
      <c r="BB7" s="47">
        <v>26</v>
      </c>
      <c r="BC7" s="48"/>
      <c r="BD7" s="47">
        <v>27</v>
      </c>
      <c r="BE7" s="48"/>
      <c r="BF7" s="47">
        <v>28</v>
      </c>
      <c r="BG7" s="48"/>
      <c r="BH7" s="47">
        <v>29</v>
      </c>
      <c r="BI7" s="48"/>
      <c r="BJ7" s="47">
        <v>30</v>
      </c>
      <c r="BK7" s="48"/>
      <c r="BL7" s="47">
        <v>31</v>
      </c>
      <c r="BM7" s="48"/>
    </row>
    <row r="8" spans="2:69" s="11" customFormat="1">
      <c r="B8" s="8"/>
      <c r="C8" s="8" t="s">
        <v>13</v>
      </c>
      <c r="D8" s="16"/>
      <c r="E8" s="17"/>
      <c r="F8" s="18"/>
      <c r="G8" s="17"/>
      <c r="H8" s="19"/>
      <c r="I8" s="20"/>
      <c r="J8" s="19"/>
      <c r="K8" s="20"/>
      <c r="L8" s="19"/>
      <c r="M8" s="20"/>
      <c r="N8" s="19"/>
      <c r="O8" s="20"/>
      <c r="P8" s="19"/>
      <c r="Q8" s="20"/>
      <c r="R8" s="19"/>
      <c r="S8" s="20"/>
      <c r="T8" s="19"/>
      <c r="U8" s="20"/>
      <c r="V8" s="19"/>
      <c r="W8" s="20"/>
      <c r="X8" s="19"/>
      <c r="Y8" s="20"/>
      <c r="Z8" s="19"/>
      <c r="AA8" s="20"/>
      <c r="AB8" s="19"/>
      <c r="AC8" s="20"/>
      <c r="AD8" s="19"/>
      <c r="AE8" s="20"/>
      <c r="AF8" s="19"/>
      <c r="AG8" s="20"/>
      <c r="AH8" s="19"/>
      <c r="AI8" s="20"/>
      <c r="AJ8" s="19"/>
      <c r="AK8" s="20"/>
      <c r="AL8" s="19"/>
      <c r="AM8" s="20"/>
      <c r="AN8" s="19"/>
      <c r="AO8" s="20"/>
      <c r="AP8" s="19"/>
      <c r="AQ8" s="20"/>
      <c r="AR8" s="19"/>
      <c r="AS8" s="20"/>
      <c r="AT8" s="19"/>
      <c r="AU8" s="20"/>
      <c r="AV8" s="19"/>
      <c r="AW8" s="20"/>
      <c r="AX8" s="19"/>
      <c r="AY8" s="20"/>
      <c r="AZ8" s="19"/>
      <c r="BA8" s="20"/>
      <c r="BB8" s="19"/>
      <c r="BC8" s="20"/>
      <c r="BD8" s="19"/>
      <c r="BE8" s="20"/>
      <c r="BF8" s="19"/>
      <c r="BG8" s="20"/>
      <c r="BH8" s="19"/>
      <c r="BI8" s="20"/>
      <c r="BJ8" s="19"/>
      <c r="BK8" s="20"/>
      <c r="BL8" s="19"/>
      <c r="BM8" s="21"/>
      <c r="BN8" s="39">
        <f>SUM(BN10:BN49)</f>
        <v>71</v>
      </c>
      <c r="BO8" s="39">
        <f>SUM(BO10:BO49)</f>
        <v>27</v>
      </c>
      <c r="BP8" s="39">
        <f>SUM(BP10:BP49)</f>
        <v>44</v>
      </c>
    </row>
    <row r="9" spans="2:69" s="3" customFormat="1" ht="12" customHeight="1">
      <c r="B9" s="23" t="s">
        <v>14</v>
      </c>
      <c r="C9" s="23" t="s">
        <v>15</v>
      </c>
      <c r="D9" s="40" t="str">
        <f>$H$1</f>
        <v>A</v>
      </c>
      <c r="E9" s="41" t="str">
        <f>$H$2</f>
        <v>J</v>
      </c>
      <c r="F9" s="42" t="str">
        <f>$H$1</f>
        <v>A</v>
      </c>
      <c r="G9" s="43" t="str">
        <f>$H$2</f>
        <v>J</v>
      </c>
      <c r="H9" s="44" t="str">
        <f>$H$1</f>
        <v>A</v>
      </c>
      <c r="I9" s="41" t="str">
        <f>$H$2</f>
        <v>J</v>
      </c>
      <c r="J9" s="42" t="str">
        <f>$H$1</f>
        <v>A</v>
      </c>
      <c r="K9" s="43" t="str">
        <f>$H$2</f>
        <v>J</v>
      </c>
      <c r="L9" s="44" t="str">
        <f>$H$1</f>
        <v>A</v>
      </c>
      <c r="M9" s="41" t="str">
        <f>$H$2</f>
        <v>J</v>
      </c>
      <c r="N9" s="42" t="str">
        <f>$H$1</f>
        <v>A</v>
      </c>
      <c r="O9" s="43" t="str">
        <f>$H$2</f>
        <v>J</v>
      </c>
      <c r="P9" s="44" t="str">
        <f>$H$1</f>
        <v>A</v>
      </c>
      <c r="Q9" s="41" t="str">
        <f>$H$2</f>
        <v>J</v>
      </c>
      <c r="R9" s="42" t="str">
        <f>$H$1</f>
        <v>A</v>
      </c>
      <c r="S9" s="43" t="str">
        <f>$H$2</f>
        <v>J</v>
      </c>
      <c r="T9" s="44" t="str">
        <f>$H$1</f>
        <v>A</v>
      </c>
      <c r="U9" s="41" t="str">
        <f>$H$2</f>
        <v>J</v>
      </c>
      <c r="V9" s="42" t="str">
        <f>$H$1</f>
        <v>A</v>
      </c>
      <c r="W9" s="43" t="str">
        <f>$H$2</f>
        <v>J</v>
      </c>
      <c r="X9" s="44" t="str">
        <f>$H$1</f>
        <v>A</v>
      </c>
      <c r="Y9" s="41" t="str">
        <f>$H$2</f>
        <v>J</v>
      </c>
      <c r="Z9" s="42" t="str">
        <f>$H$1</f>
        <v>A</v>
      </c>
      <c r="AA9" s="43" t="str">
        <f>$H$2</f>
        <v>J</v>
      </c>
      <c r="AB9" s="44" t="str">
        <f>$H$1</f>
        <v>A</v>
      </c>
      <c r="AC9" s="41" t="str">
        <f>$H$2</f>
        <v>J</v>
      </c>
      <c r="AD9" s="42" t="str">
        <f>$H$1</f>
        <v>A</v>
      </c>
      <c r="AE9" s="43" t="str">
        <f>$H$2</f>
        <v>J</v>
      </c>
      <c r="AF9" s="44" t="str">
        <f>$H$1</f>
        <v>A</v>
      </c>
      <c r="AG9" s="41" t="str">
        <f>$H$2</f>
        <v>J</v>
      </c>
      <c r="AH9" s="42" t="str">
        <f>$H$1</f>
        <v>A</v>
      </c>
      <c r="AI9" s="43" t="str">
        <f>$H$2</f>
        <v>J</v>
      </c>
      <c r="AJ9" s="44" t="str">
        <f>$H$1</f>
        <v>A</v>
      </c>
      <c r="AK9" s="41" t="str">
        <f>$H$2</f>
        <v>J</v>
      </c>
      <c r="AL9" s="42" t="str">
        <f>$H$1</f>
        <v>A</v>
      </c>
      <c r="AM9" s="43" t="str">
        <f>$H$2</f>
        <v>J</v>
      </c>
      <c r="AN9" s="44" t="str">
        <f>$H$1</f>
        <v>A</v>
      </c>
      <c r="AO9" s="41" t="str">
        <f>$H$2</f>
        <v>J</v>
      </c>
      <c r="AP9" s="42" t="str">
        <f>$H$1</f>
        <v>A</v>
      </c>
      <c r="AQ9" s="43" t="str">
        <f>$H$2</f>
        <v>J</v>
      </c>
      <c r="AR9" s="44" t="str">
        <f>$H$1</f>
        <v>A</v>
      </c>
      <c r="AS9" s="41" t="str">
        <f>$H$2</f>
        <v>J</v>
      </c>
      <c r="AT9" s="42" t="str">
        <f>$H$1</f>
        <v>A</v>
      </c>
      <c r="AU9" s="43" t="str">
        <f>$H$2</f>
        <v>J</v>
      </c>
      <c r="AV9" s="44" t="str">
        <f>$H$1</f>
        <v>A</v>
      </c>
      <c r="AW9" s="41" t="str">
        <f>$H$2</f>
        <v>J</v>
      </c>
      <c r="AX9" s="42" t="str">
        <f>$H$1</f>
        <v>A</v>
      </c>
      <c r="AY9" s="43" t="str">
        <f>$H$2</f>
        <v>J</v>
      </c>
      <c r="AZ9" s="44" t="str">
        <f>$H$1</f>
        <v>A</v>
      </c>
      <c r="BA9" s="41" t="str">
        <f>$H$2</f>
        <v>J</v>
      </c>
      <c r="BB9" s="42" t="str">
        <f>$H$1</f>
        <v>A</v>
      </c>
      <c r="BC9" s="43" t="str">
        <f>$H$2</f>
        <v>J</v>
      </c>
      <c r="BD9" s="44" t="str">
        <f>$H$1</f>
        <v>A</v>
      </c>
      <c r="BE9" s="41" t="str">
        <f>$H$2</f>
        <v>J</v>
      </c>
      <c r="BF9" s="42" t="str">
        <f>$H$1</f>
        <v>A</v>
      </c>
      <c r="BG9" s="43" t="str">
        <f>$H$2</f>
        <v>J</v>
      </c>
      <c r="BH9" s="44" t="str">
        <f>$H$1</f>
        <v>A</v>
      </c>
      <c r="BI9" s="41" t="str">
        <f>$H$2</f>
        <v>J</v>
      </c>
      <c r="BJ9" s="42" t="str">
        <f>$H$1</f>
        <v>A</v>
      </c>
      <c r="BK9" s="43" t="str">
        <f>$H$2</f>
        <v>J</v>
      </c>
      <c r="BL9" s="44" t="str">
        <f>$H$1</f>
        <v>A</v>
      </c>
      <c r="BM9" s="40" t="str">
        <f>$H$2</f>
        <v>J</v>
      </c>
      <c r="BN9" s="29" t="s">
        <v>2</v>
      </c>
      <c r="BO9" s="29" t="s">
        <v>6</v>
      </c>
      <c r="BP9" s="29" t="s">
        <v>8</v>
      </c>
    </row>
    <row r="10" spans="2:69">
      <c r="B10" s="35" t="s">
        <v>16</v>
      </c>
      <c r="C10" s="35" t="s">
        <v>17</v>
      </c>
      <c r="D10" s="31"/>
      <c r="E10" s="32"/>
      <c r="F10" s="33"/>
      <c r="G10" s="33"/>
      <c r="H10" s="32"/>
      <c r="I10" s="32"/>
      <c r="J10" s="33"/>
      <c r="K10" s="33"/>
      <c r="L10" s="32"/>
      <c r="M10" s="32"/>
      <c r="N10" s="33"/>
      <c r="O10" s="33"/>
      <c r="P10" s="32"/>
      <c r="Q10" s="32"/>
      <c r="R10" s="33"/>
      <c r="S10" s="33"/>
      <c r="T10" s="32"/>
      <c r="U10" s="32"/>
      <c r="V10" s="33"/>
      <c r="W10" s="33"/>
      <c r="X10" s="32"/>
      <c r="Y10" s="32"/>
      <c r="Z10" s="33"/>
      <c r="AA10" s="33"/>
      <c r="AB10" s="32"/>
      <c r="AC10" s="32"/>
      <c r="AD10" s="33"/>
      <c r="AE10" s="33"/>
      <c r="AF10" s="32"/>
      <c r="AG10" s="32"/>
      <c r="AH10" s="33"/>
      <c r="AI10" s="33"/>
      <c r="AJ10" s="32"/>
      <c r="AK10" s="32"/>
      <c r="AL10" s="33"/>
      <c r="AM10" s="33"/>
      <c r="AN10" s="32">
        <v>7</v>
      </c>
      <c r="AO10" s="32"/>
      <c r="AP10" s="33">
        <v>5</v>
      </c>
      <c r="AQ10" s="33">
        <v>1</v>
      </c>
      <c r="AR10" s="32"/>
      <c r="AS10" s="32"/>
      <c r="AT10" s="33"/>
      <c r="AU10" s="33"/>
      <c r="AV10" s="32"/>
      <c r="AW10" s="32"/>
      <c r="AX10" s="33">
        <v>8</v>
      </c>
      <c r="AY10" s="33"/>
      <c r="AZ10" s="32"/>
      <c r="BA10" s="32"/>
      <c r="BB10" s="32"/>
      <c r="BC10" s="33"/>
      <c r="BD10" s="32"/>
      <c r="BE10" s="32"/>
      <c r="BF10" s="32"/>
      <c r="BG10" s="33"/>
      <c r="BH10" s="32"/>
      <c r="BI10" s="32"/>
      <c r="BJ10" s="33"/>
      <c r="BK10" s="33"/>
      <c r="BL10" s="32"/>
      <c r="BM10" s="31"/>
      <c r="BN10" s="39">
        <f>SUMIFS($D10:$BM10,$D$9:$BM$9,$H$1)</f>
        <v>20</v>
      </c>
      <c r="BO10" s="39">
        <f>SUMIFS($D10:$BM10,$D$9:$BM$9,$H$2)</f>
        <v>1</v>
      </c>
      <c r="BP10" s="39">
        <f>BN10-BO10</f>
        <v>19</v>
      </c>
    </row>
    <row r="11" spans="2:69">
      <c r="B11" s="35" t="s">
        <v>18</v>
      </c>
      <c r="C11" s="35" t="s">
        <v>19</v>
      </c>
      <c r="D11" s="31">
        <v>8</v>
      </c>
      <c r="E11" s="32">
        <v>8</v>
      </c>
      <c r="F11" s="33">
        <v>7</v>
      </c>
      <c r="G11" s="33">
        <v>1</v>
      </c>
      <c r="H11" s="32">
        <v>10</v>
      </c>
      <c r="I11" s="32"/>
      <c r="J11" s="32"/>
      <c r="K11" s="33"/>
      <c r="L11" s="32"/>
      <c r="M11" s="32"/>
      <c r="N11" s="33"/>
      <c r="O11" s="33"/>
      <c r="P11" s="32"/>
      <c r="Q11" s="32"/>
      <c r="R11" s="32"/>
      <c r="S11" s="33"/>
      <c r="T11" s="32"/>
      <c r="U11" s="32"/>
      <c r="V11" s="33"/>
      <c r="W11" s="33"/>
      <c r="X11" s="32"/>
      <c r="Y11" s="32"/>
      <c r="Z11" s="33"/>
      <c r="AA11" s="33"/>
      <c r="AB11" s="32"/>
      <c r="AC11" s="32"/>
      <c r="AD11" s="33"/>
      <c r="AE11" s="33"/>
      <c r="AF11" s="32"/>
      <c r="AG11" s="32"/>
      <c r="AH11" s="33"/>
      <c r="AI11" s="33"/>
      <c r="AJ11" s="32"/>
      <c r="AK11" s="32"/>
      <c r="AL11" s="33"/>
      <c r="AM11" s="33"/>
      <c r="AN11" s="32"/>
      <c r="AO11" s="32"/>
      <c r="AP11" s="33"/>
      <c r="AQ11" s="33"/>
      <c r="AR11" s="32"/>
      <c r="AS11" s="32"/>
      <c r="AT11" s="33"/>
      <c r="AU11" s="33"/>
      <c r="AV11" s="32"/>
      <c r="AW11" s="32"/>
      <c r="AX11" s="33"/>
      <c r="AY11" s="33"/>
      <c r="AZ11" s="32"/>
      <c r="BA11" s="32"/>
      <c r="BB11" s="33"/>
      <c r="BC11" s="33"/>
      <c r="BD11" s="32"/>
      <c r="BE11" s="32"/>
      <c r="BF11" s="33"/>
      <c r="BG11" s="33"/>
      <c r="BH11" s="32"/>
      <c r="BI11" s="32"/>
      <c r="BJ11" s="33"/>
      <c r="BK11" s="33"/>
      <c r="BL11" s="32"/>
      <c r="BM11" s="31"/>
      <c r="BN11" s="39">
        <f>SUMIFS($D11:$BM11,$D$9:$BM$9,$H$1)</f>
        <v>25</v>
      </c>
      <c r="BO11" s="39">
        <f>SUMIFS($D11:$BM11,$D$9:$BM$9,$H$2)</f>
        <v>9</v>
      </c>
      <c r="BP11" s="39">
        <f>BN11-BO11</f>
        <v>16</v>
      </c>
    </row>
    <row r="12" spans="2:69">
      <c r="B12" s="35" t="s">
        <v>20</v>
      </c>
      <c r="C12" s="35" t="s">
        <v>21</v>
      </c>
      <c r="D12" s="31">
        <v>8</v>
      </c>
      <c r="E12" s="32">
        <v>2</v>
      </c>
      <c r="F12" s="33"/>
      <c r="G12" s="33"/>
      <c r="H12" s="32"/>
      <c r="I12" s="32">
        <v>6</v>
      </c>
      <c r="J12" s="33">
        <v>3</v>
      </c>
      <c r="K12" s="33"/>
      <c r="L12" s="32"/>
      <c r="M12" s="32"/>
      <c r="N12" s="33"/>
      <c r="O12" s="33"/>
      <c r="P12" s="32"/>
      <c r="Q12" s="32"/>
      <c r="R12" s="33"/>
      <c r="S12" s="33"/>
      <c r="T12" s="32">
        <v>7</v>
      </c>
      <c r="U12" s="32">
        <v>1</v>
      </c>
      <c r="V12" s="33"/>
      <c r="W12" s="33"/>
      <c r="X12" s="32">
        <v>8</v>
      </c>
      <c r="Y12" s="32">
        <v>8</v>
      </c>
      <c r="Z12" s="33"/>
      <c r="AA12" s="33"/>
      <c r="AB12" s="32"/>
      <c r="AC12" s="32"/>
      <c r="AD12" s="33"/>
      <c r="AE12" s="33"/>
      <c r="AF12" s="32"/>
      <c r="AG12" s="32"/>
      <c r="AH12" s="33"/>
      <c r="AI12" s="33"/>
      <c r="AJ12" s="32"/>
      <c r="AK12" s="32"/>
      <c r="AL12" s="33"/>
      <c r="AM12" s="33"/>
      <c r="AN12" s="32"/>
      <c r="AO12" s="32"/>
      <c r="AP12" s="33"/>
      <c r="AQ12" s="33"/>
      <c r="AR12" s="32"/>
      <c r="AS12" s="32"/>
      <c r="AT12" s="33"/>
      <c r="AU12" s="33"/>
      <c r="AV12" s="32"/>
      <c r="AW12" s="32"/>
      <c r="AX12" s="33"/>
      <c r="AY12" s="33"/>
      <c r="AZ12" s="32"/>
      <c r="BA12" s="32"/>
      <c r="BB12" s="33"/>
      <c r="BC12" s="33"/>
      <c r="BD12" s="32"/>
      <c r="BE12" s="32"/>
      <c r="BF12" s="33"/>
      <c r="BG12" s="33"/>
      <c r="BH12" s="32"/>
      <c r="BI12" s="32"/>
      <c r="BJ12" s="33"/>
      <c r="BK12" s="33"/>
      <c r="BL12" s="32"/>
      <c r="BM12" s="31"/>
      <c r="BN12" s="39">
        <f>SUMIFS($D12:$BM12,$D$9:$BM$9,$H$1)</f>
        <v>26</v>
      </c>
      <c r="BO12" s="39">
        <f>SUMIFS($D12:$BM12,$D$9:$BM$9,$H$2)</f>
        <v>17</v>
      </c>
      <c r="BP12" s="39">
        <f>BN12-BO12</f>
        <v>9</v>
      </c>
    </row>
    <row r="13" spans="2:69">
      <c r="B13" s="35" t="s">
        <v>22</v>
      </c>
      <c r="C13" s="35" t="s">
        <v>23</v>
      </c>
      <c r="D13" s="31"/>
      <c r="E13" s="31"/>
      <c r="F13" s="34"/>
      <c r="G13" s="34"/>
      <c r="H13" s="31"/>
      <c r="I13" s="31"/>
      <c r="J13" s="34"/>
      <c r="K13" s="34"/>
      <c r="L13" s="31"/>
      <c r="M13" s="31"/>
      <c r="N13" s="34"/>
      <c r="O13" s="34"/>
      <c r="P13" s="31"/>
      <c r="Q13" s="31"/>
      <c r="R13" s="34"/>
      <c r="S13" s="34"/>
      <c r="T13" s="31"/>
      <c r="U13" s="31"/>
      <c r="V13" s="34"/>
      <c r="W13" s="34"/>
      <c r="X13" s="31"/>
      <c r="Y13" s="31"/>
      <c r="Z13" s="34"/>
      <c r="AA13" s="34"/>
      <c r="AB13" s="31"/>
      <c r="AC13" s="31"/>
      <c r="AD13" s="34"/>
      <c r="AE13" s="34"/>
      <c r="AF13" s="31"/>
      <c r="AG13" s="31"/>
      <c r="AH13" s="34"/>
      <c r="AI13" s="34"/>
      <c r="AJ13" s="31"/>
      <c r="AK13" s="31"/>
      <c r="AL13" s="34"/>
      <c r="AM13" s="34"/>
      <c r="AN13" s="31"/>
      <c r="AO13" s="31"/>
      <c r="AP13" s="34"/>
      <c r="AQ13" s="34"/>
      <c r="AR13" s="31"/>
      <c r="AS13" s="31"/>
      <c r="AT13" s="34"/>
      <c r="AU13" s="34"/>
      <c r="AV13" s="31"/>
      <c r="AW13" s="31"/>
      <c r="AX13" s="34"/>
      <c r="AY13" s="34"/>
      <c r="AZ13" s="31"/>
      <c r="BA13" s="31"/>
      <c r="BB13" s="34"/>
      <c r="BC13" s="34"/>
      <c r="BD13" s="31"/>
      <c r="BE13" s="31"/>
      <c r="BF13" s="34"/>
      <c r="BG13" s="34"/>
      <c r="BH13" s="31"/>
      <c r="BI13" s="31"/>
      <c r="BJ13" s="34"/>
      <c r="BK13" s="34"/>
      <c r="BL13" s="31"/>
      <c r="BM13" s="31"/>
      <c r="BN13" s="39">
        <f>SUMIFS($D13:$BM13,$D$9:$BM$9,$H$1)</f>
        <v>0</v>
      </c>
      <c r="BO13" s="39">
        <f>SUMIFS($D13:$BM13,$D$9:$BM$9,$H$2)</f>
        <v>0</v>
      </c>
      <c r="BP13" s="39">
        <f>BN13-BO13</f>
        <v>0</v>
      </c>
    </row>
    <row r="14" spans="2:69">
      <c r="B14" s="35" t="s">
        <v>24</v>
      </c>
      <c r="C14" s="35" t="s">
        <v>25</v>
      </c>
      <c r="D14" s="32"/>
      <c r="E14" s="32"/>
      <c r="F14" s="33"/>
      <c r="G14" s="33"/>
      <c r="H14" s="32"/>
      <c r="I14" s="32"/>
      <c r="J14" s="33"/>
      <c r="K14" s="33"/>
      <c r="L14" s="32"/>
      <c r="M14" s="32"/>
      <c r="N14" s="33"/>
      <c r="O14" s="33"/>
      <c r="P14" s="32"/>
      <c r="Q14" s="32"/>
      <c r="R14" s="33"/>
      <c r="S14" s="33"/>
      <c r="T14" s="32"/>
      <c r="U14" s="32"/>
      <c r="V14" s="33"/>
      <c r="W14" s="33"/>
      <c r="X14" s="32"/>
      <c r="Y14" s="32"/>
      <c r="Z14" s="33"/>
      <c r="AA14" s="33"/>
      <c r="AB14" s="32"/>
      <c r="AC14" s="32"/>
      <c r="AD14" s="33"/>
      <c r="AE14" s="33"/>
      <c r="AF14" s="32"/>
      <c r="AG14" s="32"/>
      <c r="AH14" s="33"/>
      <c r="AI14" s="33"/>
      <c r="AJ14" s="32"/>
      <c r="AK14" s="32"/>
      <c r="AL14" s="33"/>
      <c r="AM14" s="33"/>
      <c r="AN14" s="32"/>
      <c r="AO14" s="32"/>
      <c r="AP14" s="33"/>
      <c r="AQ14" s="33"/>
      <c r="AR14" s="32"/>
      <c r="AS14" s="32"/>
      <c r="AT14" s="33"/>
      <c r="AU14" s="33"/>
      <c r="AV14" s="32"/>
      <c r="AW14" s="32"/>
      <c r="AX14" s="33"/>
      <c r="AY14" s="33"/>
      <c r="AZ14" s="32"/>
      <c r="BA14" s="32"/>
      <c r="BB14" s="33"/>
      <c r="BC14" s="33"/>
      <c r="BD14" s="32"/>
      <c r="BE14" s="32"/>
      <c r="BF14" s="33"/>
      <c r="BG14" s="33"/>
      <c r="BH14" s="32"/>
      <c r="BI14" s="32"/>
      <c r="BJ14" s="33"/>
      <c r="BK14" s="33"/>
      <c r="BL14" s="32"/>
      <c r="BM14" s="32"/>
      <c r="BN14" s="39">
        <f>SUMIFS($D14:$BM14,$D$9:$BM$9,$H$1)</f>
        <v>0</v>
      </c>
      <c r="BO14" s="39">
        <f>SUMIFS($D14:$BM14,$D$9:$BM$9,$H$2)</f>
        <v>0</v>
      </c>
      <c r="BP14" s="39">
        <f>BN14-BO14</f>
        <v>0</v>
      </c>
    </row>
    <row r="15" spans="2:69">
      <c r="B15" s="35" t="s">
        <v>26</v>
      </c>
      <c r="C15" s="35" t="s">
        <v>27</v>
      </c>
      <c r="D15" s="31"/>
      <c r="E15" s="32"/>
      <c r="F15" s="33"/>
      <c r="G15" s="33"/>
      <c r="H15" s="32"/>
      <c r="I15" s="32"/>
      <c r="J15" s="33"/>
      <c r="K15" s="33"/>
      <c r="L15" s="32"/>
      <c r="M15" s="32"/>
      <c r="N15" s="33"/>
      <c r="O15" s="33"/>
      <c r="P15" s="32"/>
      <c r="Q15" s="32"/>
      <c r="R15" s="33"/>
      <c r="S15" s="33"/>
      <c r="T15" s="32"/>
      <c r="U15" s="32"/>
      <c r="V15" s="33"/>
      <c r="W15" s="33"/>
      <c r="X15" s="32"/>
      <c r="Y15" s="32"/>
      <c r="Z15" s="33"/>
      <c r="AA15" s="33"/>
      <c r="AB15" s="32"/>
      <c r="AC15" s="32"/>
      <c r="AD15" s="33"/>
      <c r="AE15" s="33"/>
      <c r="AF15" s="32"/>
      <c r="AG15" s="32"/>
      <c r="AH15" s="33"/>
      <c r="AI15" s="33"/>
      <c r="AJ15" s="32"/>
      <c r="AK15" s="32"/>
      <c r="AL15" s="33"/>
      <c r="AM15" s="33"/>
      <c r="AN15" s="32"/>
      <c r="AO15" s="32"/>
      <c r="AP15" s="33"/>
      <c r="AQ15" s="33"/>
      <c r="AR15" s="32"/>
      <c r="AS15" s="32"/>
      <c r="AT15" s="33"/>
      <c r="AU15" s="33"/>
      <c r="AV15" s="32"/>
      <c r="AW15" s="32"/>
      <c r="AX15" s="33"/>
      <c r="AY15" s="33"/>
      <c r="AZ15" s="32"/>
      <c r="BA15" s="32"/>
      <c r="BB15" s="33"/>
      <c r="BC15" s="33"/>
      <c r="BD15" s="32"/>
      <c r="BE15" s="32"/>
      <c r="BF15" s="33"/>
      <c r="BG15" s="33"/>
      <c r="BH15" s="32"/>
      <c r="BI15" s="32"/>
      <c r="BJ15" s="33"/>
      <c r="BK15" s="33"/>
      <c r="BL15" s="32"/>
      <c r="BM15" s="31"/>
      <c r="BN15" s="39">
        <f>SUMIFS($D15:$BM15,$D$9:$BM$9,$H$1)</f>
        <v>0</v>
      </c>
      <c r="BO15" s="39">
        <f>SUMIFS($D15:$BM15,$D$9:$BM$9,$H$2)</f>
        <v>0</v>
      </c>
      <c r="BP15" s="39">
        <f>BN15-BO15</f>
        <v>0</v>
      </c>
    </row>
    <row r="16" spans="2:69">
      <c r="B16" s="35" t="s">
        <v>28</v>
      </c>
      <c r="C16" s="35" t="s">
        <v>27</v>
      </c>
      <c r="D16" s="31"/>
      <c r="E16" s="32"/>
      <c r="F16" s="33"/>
      <c r="G16" s="33"/>
      <c r="H16" s="32"/>
      <c r="I16" s="32"/>
      <c r="J16" s="33"/>
      <c r="K16" s="33"/>
      <c r="L16" s="32"/>
      <c r="M16" s="32"/>
      <c r="N16" s="33"/>
      <c r="O16" s="33"/>
      <c r="P16" s="32"/>
      <c r="Q16" s="32"/>
      <c r="R16" s="33"/>
      <c r="S16" s="33"/>
      <c r="T16" s="32"/>
      <c r="U16" s="32"/>
      <c r="V16" s="33"/>
      <c r="W16" s="33"/>
      <c r="X16" s="32"/>
      <c r="Y16" s="32"/>
      <c r="Z16" s="33"/>
      <c r="AA16" s="33"/>
      <c r="AB16" s="32"/>
      <c r="AC16" s="32"/>
      <c r="AD16" s="33"/>
      <c r="AE16" s="33"/>
      <c r="AF16" s="32"/>
      <c r="AG16" s="32"/>
      <c r="AH16" s="33"/>
      <c r="AI16" s="33"/>
      <c r="AJ16" s="32"/>
      <c r="AK16" s="32"/>
      <c r="AL16" s="33"/>
      <c r="AM16" s="33"/>
      <c r="AN16" s="32"/>
      <c r="AO16" s="32"/>
      <c r="AP16" s="33"/>
      <c r="AQ16" s="33"/>
      <c r="AR16" s="32"/>
      <c r="AS16" s="32"/>
      <c r="AT16" s="33"/>
      <c r="AU16" s="33"/>
      <c r="AV16" s="32"/>
      <c r="AW16" s="32"/>
      <c r="AX16" s="33"/>
      <c r="AY16" s="33"/>
      <c r="AZ16" s="32"/>
      <c r="BA16" s="32"/>
      <c r="BB16" s="33"/>
      <c r="BC16" s="33"/>
      <c r="BD16" s="32"/>
      <c r="BE16" s="32"/>
      <c r="BF16" s="33"/>
      <c r="BG16" s="33"/>
      <c r="BH16" s="32"/>
      <c r="BI16" s="32"/>
      <c r="BJ16" s="33"/>
      <c r="BK16" s="33"/>
      <c r="BL16" s="32"/>
      <c r="BM16" s="31"/>
      <c r="BN16" s="39">
        <f>SUMIFS($D16:$BM16,$D$9:$BM$9,$H$1)</f>
        <v>0</v>
      </c>
      <c r="BO16" s="39">
        <f>SUMIFS($D16:$BM16,$D$9:$BM$9,$H$2)</f>
        <v>0</v>
      </c>
      <c r="BP16" s="39">
        <f>BN16-BO16</f>
        <v>0</v>
      </c>
    </row>
    <row r="17" spans="2:68">
      <c r="B17" s="35" t="s">
        <v>29</v>
      </c>
      <c r="C17" s="35" t="s">
        <v>30</v>
      </c>
      <c r="D17" s="31"/>
      <c r="E17" s="31"/>
      <c r="F17" s="34"/>
      <c r="G17" s="34"/>
      <c r="H17" s="31"/>
      <c r="I17" s="31"/>
      <c r="J17" s="34"/>
      <c r="K17" s="34"/>
      <c r="L17" s="31"/>
      <c r="M17" s="31"/>
      <c r="N17" s="34"/>
      <c r="O17" s="34"/>
      <c r="P17" s="31"/>
      <c r="Q17" s="31"/>
      <c r="R17" s="34"/>
      <c r="S17" s="34"/>
      <c r="T17" s="31"/>
      <c r="U17" s="31"/>
      <c r="V17" s="34"/>
      <c r="W17" s="34"/>
      <c r="X17" s="31"/>
      <c r="Y17" s="31"/>
      <c r="Z17" s="34"/>
      <c r="AA17" s="34"/>
      <c r="AB17" s="31"/>
      <c r="AC17" s="31"/>
      <c r="AD17" s="34"/>
      <c r="AE17" s="34"/>
      <c r="AF17" s="31"/>
      <c r="AG17" s="31"/>
      <c r="AH17" s="34"/>
      <c r="AI17" s="34"/>
      <c r="AJ17" s="31"/>
      <c r="AK17" s="31"/>
      <c r="AL17" s="34"/>
      <c r="AM17" s="34"/>
      <c r="AN17" s="31"/>
      <c r="AO17" s="31"/>
      <c r="AP17" s="34"/>
      <c r="AQ17" s="34"/>
      <c r="AR17" s="31"/>
      <c r="AS17" s="31"/>
      <c r="AT17" s="34"/>
      <c r="AU17" s="34"/>
      <c r="AV17" s="31"/>
      <c r="AW17" s="31"/>
      <c r="AX17" s="34"/>
      <c r="AY17" s="34"/>
      <c r="AZ17" s="31"/>
      <c r="BA17" s="31"/>
      <c r="BB17" s="34"/>
      <c r="BC17" s="34"/>
      <c r="BD17" s="31"/>
      <c r="BE17" s="31"/>
      <c r="BF17" s="34"/>
      <c r="BG17" s="34"/>
      <c r="BH17" s="31"/>
      <c r="BI17" s="31"/>
      <c r="BJ17" s="34"/>
      <c r="BK17" s="34"/>
      <c r="BL17" s="31"/>
      <c r="BM17" s="31"/>
      <c r="BN17" s="39">
        <f>SUMIFS($D17:$BM17,$D$9:$BM$9,$H$1)</f>
        <v>0</v>
      </c>
      <c r="BO17" s="39">
        <f>SUMIFS($D17:$BM17,$D$9:$BM$9,$H$2)</f>
        <v>0</v>
      </c>
      <c r="BP17" s="39">
        <f>BN17-BO17</f>
        <v>0</v>
      </c>
    </row>
    <row r="18" spans="2:68">
      <c r="B18" s="35" t="s">
        <v>31</v>
      </c>
      <c r="C18" s="35" t="s">
        <v>32</v>
      </c>
      <c r="D18" s="31"/>
      <c r="E18" s="31"/>
      <c r="F18" s="34"/>
      <c r="G18" s="34"/>
      <c r="H18" s="31"/>
      <c r="I18" s="31"/>
      <c r="J18" s="34"/>
      <c r="K18" s="34"/>
      <c r="L18" s="31"/>
      <c r="M18" s="31"/>
      <c r="N18" s="34"/>
      <c r="O18" s="34"/>
      <c r="P18" s="31"/>
      <c r="Q18" s="31"/>
      <c r="R18" s="34"/>
      <c r="S18" s="34"/>
      <c r="T18" s="31"/>
      <c r="U18" s="31"/>
      <c r="V18" s="34"/>
      <c r="W18" s="34"/>
      <c r="X18" s="31"/>
      <c r="Y18" s="31"/>
      <c r="Z18" s="34"/>
      <c r="AA18" s="34"/>
      <c r="AB18" s="31"/>
      <c r="AC18" s="31"/>
      <c r="AD18" s="34"/>
      <c r="AE18" s="34"/>
      <c r="AF18" s="31"/>
      <c r="AG18" s="31"/>
      <c r="AH18" s="34"/>
      <c r="AI18" s="34"/>
      <c r="AJ18" s="31"/>
      <c r="AK18" s="31"/>
      <c r="AL18" s="34"/>
      <c r="AM18" s="34"/>
      <c r="AN18" s="31"/>
      <c r="AO18" s="31"/>
      <c r="AP18" s="34"/>
      <c r="AQ18" s="34"/>
      <c r="AR18" s="31"/>
      <c r="AS18" s="31"/>
      <c r="AT18" s="34"/>
      <c r="AU18" s="34"/>
      <c r="AV18" s="31"/>
      <c r="AW18" s="31"/>
      <c r="AX18" s="34"/>
      <c r="AY18" s="34"/>
      <c r="AZ18" s="31"/>
      <c r="BA18" s="31"/>
      <c r="BB18" s="34"/>
      <c r="BC18" s="34"/>
      <c r="BD18" s="31"/>
      <c r="BE18" s="31"/>
      <c r="BF18" s="34"/>
      <c r="BG18" s="34"/>
      <c r="BH18" s="31"/>
      <c r="BI18" s="31"/>
      <c r="BJ18" s="34"/>
      <c r="BK18" s="34"/>
      <c r="BL18" s="31"/>
      <c r="BM18" s="31"/>
      <c r="BN18" s="39">
        <f>SUMIFS($D18:$BM18,$D$9:$BM$9,$H$1)</f>
        <v>0</v>
      </c>
      <c r="BO18" s="39">
        <f>SUMIFS($D18:$BM18,$D$9:$BM$9,$H$2)</f>
        <v>0</v>
      </c>
      <c r="BP18" s="39">
        <f>BN18-BO18</f>
        <v>0</v>
      </c>
    </row>
    <row r="19" spans="2:68">
      <c r="B19" s="35" t="s">
        <v>33</v>
      </c>
      <c r="C19" s="35" t="s">
        <v>34</v>
      </c>
      <c r="D19" s="31"/>
      <c r="E19" s="31"/>
      <c r="F19" s="34"/>
      <c r="G19" s="34"/>
      <c r="H19" s="31"/>
      <c r="I19" s="31"/>
      <c r="J19" s="34"/>
      <c r="K19" s="34"/>
      <c r="L19" s="31"/>
      <c r="M19" s="31"/>
      <c r="N19" s="34"/>
      <c r="O19" s="34"/>
      <c r="P19" s="31"/>
      <c r="Q19" s="31"/>
      <c r="R19" s="34"/>
      <c r="S19" s="34"/>
      <c r="T19" s="31"/>
      <c r="U19" s="31"/>
      <c r="V19" s="34"/>
      <c r="W19" s="34"/>
      <c r="X19" s="31"/>
      <c r="Y19" s="31"/>
      <c r="Z19" s="34"/>
      <c r="AA19" s="34"/>
      <c r="AB19" s="31"/>
      <c r="AC19" s="31"/>
      <c r="AD19" s="34"/>
      <c r="AE19" s="34"/>
      <c r="AF19" s="31"/>
      <c r="AG19" s="31"/>
      <c r="AH19" s="34"/>
      <c r="AI19" s="34"/>
      <c r="AJ19" s="31"/>
      <c r="AK19" s="31"/>
      <c r="AL19" s="34"/>
      <c r="AM19" s="34"/>
      <c r="AN19" s="31"/>
      <c r="AO19" s="31"/>
      <c r="AP19" s="34"/>
      <c r="AQ19" s="34"/>
      <c r="AR19" s="31"/>
      <c r="AS19" s="31"/>
      <c r="AT19" s="34"/>
      <c r="AU19" s="34"/>
      <c r="AV19" s="31"/>
      <c r="AW19" s="31"/>
      <c r="AX19" s="34"/>
      <c r="AY19" s="34"/>
      <c r="AZ19" s="31"/>
      <c r="BA19" s="31"/>
      <c r="BB19" s="34"/>
      <c r="BC19" s="34"/>
      <c r="BD19" s="31"/>
      <c r="BE19" s="31"/>
      <c r="BF19" s="34"/>
      <c r="BG19" s="34"/>
      <c r="BH19" s="31"/>
      <c r="BI19" s="31"/>
      <c r="BJ19" s="34"/>
      <c r="BK19" s="34"/>
      <c r="BL19" s="31"/>
      <c r="BM19" s="31"/>
      <c r="BN19" s="39">
        <f>SUMIFS($D19:$BM19,$D$9:$BM$9,$H$1)</f>
        <v>0</v>
      </c>
      <c r="BO19" s="39">
        <f>SUMIFS($D19:$BM19,$D$9:$BM$9,$H$2)</f>
        <v>0</v>
      </c>
      <c r="BP19" s="39">
        <f>BN19-BO19</f>
        <v>0</v>
      </c>
    </row>
    <row r="20" spans="2:68">
      <c r="B20" s="35" t="s">
        <v>35</v>
      </c>
      <c r="C20" s="35" t="s">
        <v>36</v>
      </c>
      <c r="D20" s="31"/>
      <c r="E20" s="32"/>
      <c r="F20" s="33"/>
      <c r="G20" s="33"/>
      <c r="H20" s="32"/>
      <c r="I20" s="32"/>
      <c r="J20" s="33"/>
      <c r="K20" s="33"/>
      <c r="L20" s="32"/>
      <c r="M20" s="32"/>
      <c r="N20" s="33"/>
      <c r="O20" s="33"/>
      <c r="P20" s="32"/>
      <c r="Q20" s="32"/>
      <c r="R20" s="33"/>
      <c r="S20" s="33"/>
      <c r="T20" s="32"/>
      <c r="U20" s="32"/>
      <c r="V20" s="33"/>
      <c r="W20" s="33"/>
      <c r="X20" s="32"/>
      <c r="Y20" s="32"/>
      <c r="Z20" s="33"/>
      <c r="AA20" s="33"/>
      <c r="AB20" s="32"/>
      <c r="AC20" s="32"/>
      <c r="AD20" s="33"/>
      <c r="AE20" s="33"/>
      <c r="AF20" s="32"/>
      <c r="AG20" s="32"/>
      <c r="AH20" s="33"/>
      <c r="AI20" s="33"/>
      <c r="AJ20" s="32"/>
      <c r="AK20" s="32"/>
      <c r="AL20" s="33"/>
      <c r="AM20" s="33"/>
      <c r="AN20" s="32"/>
      <c r="AO20" s="32"/>
      <c r="AP20" s="33"/>
      <c r="AQ20" s="33"/>
      <c r="AR20" s="32"/>
      <c r="AS20" s="32"/>
      <c r="AT20" s="33"/>
      <c r="AU20" s="33"/>
      <c r="AV20" s="32"/>
      <c r="AW20" s="32"/>
      <c r="AX20" s="33"/>
      <c r="AY20" s="33"/>
      <c r="AZ20" s="32"/>
      <c r="BA20" s="32"/>
      <c r="BB20" s="33"/>
      <c r="BC20" s="33"/>
      <c r="BD20" s="32"/>
      <c r="BE20" s="32"/>
      <c r="BF20" s="33"/>
      <c r="BG20" s="33"/>
      <c r="BH20" s="32"/>
      <c r="BI20" s="32"/>
      <c r="BJ20" s="33"/>
      <c r="BK20" s="33"/>
      <c r="BL20" s="32"/>
      <c r="BM20" s="31"/>
      <c r="BN20" s="39">
        <f>SUMIFS($D20:$BM20,$D$9:$BM$9,$H$1)</f>
        <v>0</v>
      </c>
      <c r="BO20" s="39">
        <f>SUMIFS($D20:$BM20,$D$9:$BM$9,$H$2)</f>
        <v>0</v>
      </c>
      <c r="BP20" s="39">
        <f>BN20-BO20</f>
        <v>0</v>
      </c>
    </row>
    <row r="21" spans="2:68">
      <c r="B21" s="35" t="s">
        <v>37</v>
      </c>
      <c r="C21" s="35" t="s">
        <v>38</v>
      </c>
      <c r="D21" s="31"/>
      <c r="E21" s="31"/>
      <c r="F21" s="34"/>
      <c r="G21" s="34"/>
      <c r="H21" s="31"/>
      <c r="I21" s="31"/>
      <c r="J21" s="34"/>
      <c r="K21" s="34"/>
      <c r="L21" s="31"/>
      <c r="M21" s="31"/>
      <c r="N21" s="34"/>
      <c r="O21" s="34"/>
      <c r="P21" s="31"/>
      <c r="Q21" s="31"/>
      <c r="R21" s="34"/>
      <c r="S21" s="34"/>
      <c r="T21" s="31"/>
      <c r="U21" s="31"/>
      <c r="V21" s="34"/>
      <c r="W21" s="34"/>
      <c r="X21" s="31"/>
      <c r="Y21" s="31"/>
      <c r="Z21" s="34"/>
      <c r="AA21" s="34"/>
      <c r="AB21" s="31"/>
      <c r="AC21" s="31"/>
      <c r="AD21" s="34"/>
      <c r="AE21" s="34"/>
      <c r="AF21" s="31"/>
      <c r="AG21" s="31"/>
      <c r="AH21" s="34"/>
      <c r="AI21" s="34"/>
      <c r="AJ21" s="31"/>
      <c r="AK21" s="31"/>
      <c r="AL21" s="34"/>
      <c r="AM21" s="34"/>
      <c r="AN21" s="31"/>
      <c r="AO21" s="31"/>
      <c r="AP21" s="34"/>
      <c r="AQ21" s="34"/>
      <c r="AR21" s="31"/>
      <c r="AS21" s="31"/>
      <c r="AT21" s="34"/>
      <c r="AU21" s="34"/>
      <c r="AV21" s="31"/>
      <c r="AW21" s="31"/>
      <c r="AX21" s="34"/>
      <c r="AY21" s="34"/>
      <c r="AZ21" s="31"/>
      <c r="BA21" s="31"/>
      <c r="BB21" s="34"/>
      <c r="BC21" s="34"/>
      <c r="BD21" s="31"/>
      <c r="BE21" s="31"/>
      <c r="BF21" s="34"/>
      <c r="BG21" s="34"/>
      <c r="BH21" s="31"/>
      <c r="BI21" s="31"/>
      <c r="BJ21" s="34"/>
      <c r="BK21" s="34"/>
      <c r="BL21" s="31"/>
      <c r="BM21" s="31"/>
      <c r="BN21" s="39">
        <f>SUMIFS($D21:$BM21,$D$9:$BM$9,$H$1)</f>
        <v>0</v>
      </c>
      <c r="BO21" s="39">
        <f>SUMIFS($D21:$BM21,$D$9:$BM$9,$H$2)</f>
        <v>0</v>
      </c>
      <c r="BP21" s="39">
        <f>BN21-BO21</f>
        <v>0</v>
      </c>
    </row>
    <row r="22" spans="2:68">
      <c r="B22" s="35" t="s">
        <v>39</v>
      </c>
      <c r="C22" s="35" t="s">
        <v>40</v>
      </c>
      <c r="D22" s="31"/>
      <c r="E22" s="31"/>
      <c r="F22" s="34"/>
      <c r="G22" s="34"/>
      <c r="H22" s="31"/>
      <c r="I22" s="31"/>
      <c r="J22" s="34"/>
      <c r="K22" s="34"/>
      <c r="L22" s="31"/>
      <c r="M22" s="31"/>
      <c r="N22" s="34"/>
      <c r="O22" s="34"/>
      <c r="P22" s="31"/>
      <c r="Q22" s="31"/>
      <c r="R22" s="34"/>
      <c r="S22" s="34"/>
      <c r="T22" s="31"/>
      <c r="U22" s="31"/>
      <c r="V22" s="34"/>
      <c r="W22" s="34"/>
      <c r="X22" s="31"/>
      <c r="Y22" s="31"/>
      <c r="Z22" s="34"/>
      <c r="AA22" s="34"/>
      <c r="AB22" s="31"/>
      <c r="AC22" s="31"/>
      <c r="AD22" s="34"/>
      <c r="AE22" s="34"/>
      <c r="AF22" s="31"/>
      <c r="AG22" s="31"/>
      <c r="AH22" s="34"/>
      <c r="AI22" s="34"/>
      <c r="AJ22" s="31"/>
      <c r="AK22" s="31"/>
      <c r="AL22" s="34"/>
      <c r="AM22" s="34"/>
      <c r="AN22" s="31"/>
      <c r="AO22" s="31"/>
      <c r="AP22" s="34"/>
      <c r="AQ22" s="34"/>
      <c r="AR22" s="31"/>
      <c r="AS22" s="31"/>
      <c r="AT22" s="34"/>
      <c r="AU22" s="34"/>
      <c r="AV22" s="31"/>
      <c r="AW22" s="31"/>
      <c r="AX22" s="34"/>
      <c r="AY22" s="34"/>
      <c r="AZ22" s="31"/>
      <c r="BA22" s="31"/>
      <c r="BB22" s="34"/>
      <c r="BC22" s="34"/>
      <c r="BD22" s="31"/>
      <c r="BE22" s="31"/>
      <c r="BF22" s="34"/>
      <c r="BG22" s="34"/>
      <c r="BH22" s="31"/>
      <c r="BI22" s="31"/>
      <c r="BJ22" s="34"/>
      <c r="BK22" s="34"/>
      <c r="BL22" s="31"/>
      <c r="BM22" s="31"/>
      <c r="BN22" s="39">
        <f>SUMIFS($D22:$BM22,$D$9:$BM$9,$H$1)</f>
        <v>0</v>
      </c>
      <c r="BO22" s="39">
        <f>SUMIFS($D22:$BM22,$D$9:$BM$9,$H$2)</f>
        <v>0</v>
      </c>
      <c r="BP22" s="39">
        <f>BN22-BO22</f>
        <v>0</v>
      </c>
    </row>
    <row r="23" spans="2:68">
      <c r="B23" s="35" t="s">
        <v>41</v>
      </c>
      <c r="C23" s="35" t="s">
        <v>42</v>
      </c>
      <c r="D23" s="31"/>
      <c r="E23" s="31"/>
      <c r="F23" s="34"/>
      <c r="G23" s="34"/>
      <c r="H23" s="31"/>
      <c r="I23" s="31"/>
      <c r="J23" s="34"/>
      <c r="K23" s="34"/>
      <c r="L23" s="31"/>
      <c r="M23" s="31"/>
      <c r="N23" s="34"/>
      <c r="O23" s="34"/>
      <c r="P23" s="31"/>
      <c r="Q23" s="31"/>
      <c r="R23" s="34"/>
      <c r="S23" s="34"/>
      <c r="T23" s="31"/>
      <c r="U23" s="31"/>
      <c r="V23" s="34"/>
      <c r="W23" s="34"/>
      <c r="X23" s="31"/>
      <c r="Y23" s="31"/>
      <c r="Z23" s="34"/>
      <c r="AA23" s="34"/>
      <c r="AB23" s="31"/>
      <c r="AC23" s="31"/>
      <c r="AD23" s="34"/>
      <c r="AE23" s="34"/>
      <c r="AF23" s="31"/>
      <c r="AG23" s="31"/>
      <c r="AH23" s="34"/>
      <c r="AI23" s="34"/>
      <c r="AJ23" s="31"/>
      <c r="AK23" s="31"/>
      <c r="AL23" s="34"/>
      <c r="AM23" s="34"/>
      <c r="AN23" s="31"/>
      <c r="AO23" s="31"/>
      <c r="AP23" s="34"/>
      <c r="AQ23" s="34"/>
      <c r="AR23" s="31"/>
      <c r="AS23" s="31"/>
      <c r="AT23" s="34"/>
      <c r="AU23" s="34"/>
      <c r="AV23" s="31"/>
      <c r="AW23" s="31"/>
      <c r="AX23" s="34"/>
      <c r="AY23" s="34"/>
      <c r="AZ23" s="31"/>
      <c r="BA23" s="31"/>
      <c r="BB23" s="34"/>
      <c r="BC23" s="34"/>
      <c r="BD23" s="31"/>
      <c r="BE23" s="31"/>
      <c r="BF23" s="34"/>
      <c r="BG23" s="34"/>
      <c r="BH23" s="31"/>
      <c r="BI23" s="31"/>
      <c r="BJ23" s="34"/>
      <c r="BK23" s="34"/>
      <c r="BL23" s="31"/>
      <c r="BM23" s="31"/>
      <c r="BN23" s="39">
        <f>SUMIFS($D23:$BM23,$D$9:$BM$9,$H$1)</f>
        <v>0</v>
      </c>
      <c r="BO23" s="39">
        <f>SUMIFS($D23:$BM23,$D$9:$BM$9,$H$2)</f>
        <v>0</v>
      </c>
      <c r="BP23" s="39">
        <f>BN23-BO23</f>
        <v>0</v>
      </c>
    </row>
    <row r="24" spans="2:68">
      <c r="B24" s="35" t="s">
        <v>43</v>
      </c>
      <c r="C24" s="35" t="s">
        <v>44</v>
      </c>
      <c r="D24" s="31"/>
      <c r="E24" s="31"/>
      <c r="F24" s="34"/>
      <c r="G24" s="34"/>
      <c r="H24" s="31"/>
      <c r="I24" s="31"/>
      <c r="J24" s="34"/>
      <c r="K24" s="34"/>
      <c r="L24" s="31"/>
      <c r="M24" s="31"/>
      <c r="N24" s="34"/>
      <c r="O24" s="34"/>
      <c r="P24" s="31"/>
      <c r="Q24" s="31"/>
      <c r="R24" s="34"/>
      <c r="S24" s="34"/>
      <c r="T24" s="31"/>
      <c r="U24" s="31"/>
      <c r="V24" s="34"/>
      <c r="W24" s="34"/>
      <c r="X24" s="31"/>
      <c r="Y24" s="31"/>
      <c r="Z24" s="34"/>
      <c r="AA24" s="34"/>
      <c r="AB24" s="31"/>
      <c r="AC24" s="31"/>
      <c r="AD24" s="34"/>
      <c r="AE24" s="34"/>
      <c r="AF24" s="31"/>
      <c r="AG24" s="31"/>
      <c r="AH24" s="34"/>
      <c r="AI24" s="34"/>
      <c r="AJ24" s="31"/>
      <c r="AK24" s="31"/>
      <c r="AL24" s="34"/>
      <c r="AM24" s="34"/>
      <c r="AN24" s="31"/>
      <c r="AO24" s="31"/>
      <c r="AP24" s="34"/>
      <c r="AQ24" s="34"/>
      <c r="AR24" s="31"/>
      <c r="AS24" s="31"/>
      <c r="AT24" s="34"/>
      <c r="AU24" s="34"/>
      <c r="AV24" s="31"/>
      <c r="AW24" s="31"/>
      <c r="AX24" s="34"/>
      <c r="AY24" s="34"/>
      <c r="AZ24" s="31"/>
      <c r="BA24" s="31"/>
      <c r="BB24" s="34"/>
      <c r="BC24" s="34"/>
      <c r="BD24" s="31"/>
      <c r="BE24" s="31"/>
      <c r="BF24" s="34"/>
      <c r="BG24" s="34"/>
      <c r="BH24" s="31"/>
      <c r="BI24" s="31"/>
      <c r="BJ24" s="34"/>
      <c r="BK24" s="34"/>
      <c r="BL24" s="31"/>
      <c r="BM24" s="31"/>
      <c r="BN24" s="39">
        <f>SUMIFS($D24:$BM24,$D$9:$BM$9,$H$1)</f>
        <v>0</v>
      </c>
      <c r="BO24" s="39">
        <f>SUMIFS($D24:$BM24,$D$9:$BM$9,$H$2)</f>
        <v>0</v>
      </c>
      <c r="BP24" s="39">
        <f>BN24-BO24</f>
        <v>0</v>
      </c>
    </row>
    <row r="25" spans="2:68">
      <c r="B25" s="35" t="s">
        <v>45</v>
      </c>
      <c r="C25" s="35" t="s">
        <v>46</v>
      </c>
      <c r="D25" s="31"/>
      <c r="E25" s="31"/>
      <c r="F25" s="34"/>
      <c r="G25" s="34"/>
      <c r="H25" s="31"/>
      <c r="I25" s="31"/>
      <c r="J25" s="34"/>
      <c r="K25" s="34"/>
      <c r="L25" s="31"/>
      <c r="M25" s="31"/>
      <c r="N25" s="34"/>
      <c r="O25" s="34"/>
      <c r="P25" s="31"/>
      <c r="Q25" s="31"/>
      <c r="R25" s="34"/>
      <c r="S25" s="34"/>
      <c r="T25" s="31"/>
      <c r="U25" s="31"/>
      <c r="V25" s="34"/>
      <c r="W25" s="34"/>
      <c r="X25" s="31"/>
      <c r="Y25" s="31"/>
      <c r="Z25" s="34"/>
      <c r="AA25" s="34"/>
      <c r="AB25" s="31"/>
      <c r="AC25" s="31"/>
      <c r="AD25" s="34"/>
      <c r="AE25" s="34"/>
      <c r="AF25" s="31"/>
      <c r="AG25" s="31"/>
      <c r="AH25" s="34"/>
      <c r="AI25" s="34"/>
      <c r="AJ25" s="31"/>
      <c r="AK25" s="31"/>
      <c r="AL25" s="34"/>
      <c r="AM25" s="34"/>
      <c r="AN25" s="31"/>
      <c r="AO25" s="31"/>
      <c r="AP25" s="34"/>
      <c r="AQ25" s="34"/>
      <c r="AR25" s="31"/>
      <c r="AS25" s="31"/>
      <c r="AT25" s="34"/>
      <c r="AU25" s="34"/>
      <c r="AV25" s="31"/>
      <c r="AW25" s="31"/>
      <c r="AX25" s="34"/>
      <c r="AY25" s="34"/>
      <c r="AZ25" s="31"/>
      <c r="BA25" s="31"/>
      <c r="BB25" s="34"/>
      <c r="BC25" s="34"/>
      <c r="BD25" s="31"/>
      <c r="BE25" s="31"/>
      <c r="BF25" s="34"/>
      <c r="BG25" s="34"/>
      <c r="BH25" s="31"/>
      <c r="BI25" s="31"/>
      <c r="BJ25" s="34"/>
      <c r="BK25" s="34"/>
      <c r="BL25" s="31"/>
      <c r="BM25" s="31"/>
      <c r="BN25" s="39">
        <f>SUMIFS($D25:$BM25,$D$9:$BM$9,$H$1)</f>
        <v>0</v>
      </c>
      <c r="BO25" s="39">
        <f>SUMIFS($D25:$BM25,$D$9:$BM$9,$H$2)</f>
        <v>0</v>
      </c>
      <c r="BP25" s="39">
        <f>BN25-BO25</f>
        <v>0</v>
      </c>
    </row>
    <row r="26" spans="2:68">
      <c r="B26" s="35" t="s">
        <v>47</v>
      </c>
      <c r="C26" s="35" t="s">
        <v>48</v>
      </c>
      <c r="D26" s="31"/>
      <c r="E26" s="31"/>
      <c r="F26" s="34"/>
      <c r="G26" s="34"/>
      <c r="H26" s="31"/>
      <c r="I26" s="31"/>
      <c r="J26" s="34"/>
      <c r="K26" s="34"/>
      <c r="L26" s="31"/>
      <c r="M26" s="31"/>
      <c r="N26" s="34"/>
      <c r="O26" s="34"/>
      <c r="P26" s="31"/>
      <c r="Q26" s="31"/>
      <c r="R26" s="34"/>
      <c r="S26" s="34"/>
      <c r="T26" s="31"/>
      <c r="U26" s="31"/>
      <c r="V26" s="34"/>
      <c r="W26" s="34"/>
      <c r="X26" s="31"/>
      <c r="Y26" s="31"/>
      <c r="Z26" s="34"/>
      <c r="AA26" s="34"/>
      <c r="AB26" s="31"/>
      <c r="AC26" s="31"/>
      <c r="AD26" s="34"/>
      <c r="AE26" s="34"/>
      <c r="AF26" s="31"/>
      <c r="AG26" s="31"/>
      <c r="AH26" s="34"/>
      <c r="AI26" s="34"/>
      <c r="AJ26" s="31"/>
      <c r="AK26" s="31"/>
      <c r="AL26" s="34"/>
      <c r="AM26" s="34"/>
      <c r="AN26" s="31"/>
      <c r="AO26" s="31"/>
      <c r="AP26" s="34"/>
      <c r="AQ26" s="34"/>
      <c r="AR26" s="31"/>
      <c r="AS26" s="31"/>
      <c r="AT26" s="34"/>
      <c r="AU26" s="34"/>
      <c r="AV26" s="31"/>
      <c r="AW26" s="31"/>
      <c r="AX26" s="34"/>
      <c r="AY26" s="34"/>
      <c r="AZ26" s="31"/>
      <c r="BA26" s="31"/>
      <c r="BB26" s="34"/>
      <c r="BC26" s="34"/>
      <c r="BD26" s="31"/>
      <c r="BE26" s="31"/>
      <c r="BF26" s="34"/>
      <c r="BG26" s="34"/>
      <c r="BH26" s="31"/>
      <c r="BI26" s="31"/>
      <c r="BJ26" s="34"/>
      <c r="BK26" s="34"/>
      <c r="BL26" s="31"/>
      <c r="BM26" s="31"/>
      <c r="BN26" s="39">
        <f>SUMIFS($D26:$BM26,$D$9:$BM$9,$H$1)</f>
        <v>0</v>
      </c>
      <c r="BO26" s="39">
        <f>SUMIFS($D26:$BM26,$D$9:$BM$9,$H$2)</f>
        <v>0</v>
      </c>
      <c r="BP26" s="39">
        <f>BN26-BO26</f>
        <v>0</v>
      </c>
    </row>
    <row r="27" spans="2:68">
      <c r="B27" s="35" t="s">
        <v>49</v>
      </c>
      <c r="C27" s="35" t="s">
        <v>50</v>
      </c>
      <c r="D27" s="31"/>
      <c r="E27" s="31"/>
      <c r="F27" s="34"/>
      <c r="G27" s="34"/>
      <c r="H27" s="31"/>
      <c r="I27" s="31"/>
      <c r="J27" s="34"/>
      <c r="K27" s="34"/>
      <c r="L27" s="31"/>
      <c r="M27" s="31"/>
      <c r="N27" s="34"/>
      <c r="O27" s="34"/>
      <c r="P27" s="31"/>
      <c r="Q27" s="31"/>
      <c r="R27" s="34"/>
      <c r="S27" s="34"/>
      <c r="T27" s="31"/>
      <c r="U27" s="31"/>
      <c r="V27" s="34"/>
      <c r="W27" s="34"/>
      <c r="X27" s="31"/>
      <c r="Y27" s="31"/>
      <c r="Z27" s="34"/>
      <c r="AA27" s="34"/>
      <c r="AB27" s="31"/>
      <c r="AC27" s="31"/>
      <c r="AD27" s="34"/>
      <c r="AE27" s="34"/>
      <c r="AF27" s="31"/>
      <c r="AG27" s="31"/>
      <c r="AH27" s="34"/>
      <c r="AI27" s="34"/>
      <c r="AJ27" s="31"/>
      <c r="AK27" s="31"/>
      <c r="AL27" s="34"/>
      <c r="AM27" s="34"/>
      <c r="AN27" s="31"/>
      <c r="AO27" s="31"/>
      <c r="AP27" s="34"/>
      <c r="AQ27" s="34"/>
      <c r="AR27" s="31"/>
      <c r="AS27" s="31"/>
      <c r="AT27" s="34"/>
      <c r="AU27" s="34"/>
      <c r="AV27" s="31"/>
      <c r="AW27" s="31"/>
      <c r="AX27" s="34"/>
      <c r="AY27" s="34"/>
      <c r="AZ27" s="31"/>
      <c r="BA27" s="31"/>
      <c r="BB27" s="34"/>
      <c r="BC27" s="34"/>
      <c r="BD27" s="31"/>
      <c r="BE27" s="31"/>
      <c r="BF27" s="34"/>
      <c r="BG27" s="34"/>
      <c r="BH27" s="31"/>
      <c r="BI27" s="31"/>
      <c r="BJ27" s="34"/>
      <c r="BK27" s="34"/>
      <c r="BL27" s="31"/>
      <c r="BM27" s="31"/>
      <c r="BN27" s="39">
        <f>SUMIFS($D27:$BM27,$D$9:$BM$9,$H$1)</f>
        <v>0</v>
      </c>
      <c r="BO27" s="39">
        <f>SUMIFS($D27:$BM27,$D$9:$BM$9,$H$2)</f>
        <v>0</v>
      </c>
      <c r="BP27" s="39">
        <f>BN27-BO27</f>
        <v>0</v>
      </c>
    </row>
    <row r="28" spans="2:68">
      <c r="B28" s="35" t="s">
        <v>51</v>
      </c>
      <c r="C28" s="35" t="s">
        <v>50</v>
      </c>
      <c r="D28" s="31"/>
      <c r="E28" s="31"/>
      <c r="F28" s="34"/>
      <c r="G28" s="34"/>
      <c r="H28" s="31"/>
      <c r="I28" s="31"/>
      <c r="J28" s="34"/>
      <c r="K28" s="34"/>
      <c r="L28" s="31"/>
      <c r="M28" s="31"/>
      <c r="N28" s="34"/>
      <c r="O28" s="34"/>
      <c r="P28" s="31"/>
      <c r="Q28" s="31"/>
      <c r="R28" s="34"/>
      <c r="S28" s="34"/>
      <c r="T28" s="31"/>
      <c r="U28" s="31"/>
      <c r="V28" s="34"/>
      <c r="W28" s="34"/>
      <c r="X28" s="31"/>
      <c r="Y28" s="31"/>
      <c r="Z28" s="34"/>
      <c r="AA28" s="34"/>
      <c r="AB28" s="31"/>
      <c r="AC28" s="31"/>
      <c r="AD28" s="34"/>
      <c r="AE28" s="34"/>
      <c r="AF28" s="31"/>
      <c r="AG28" s="31"/>
      <c r="AH28" s="34"/>
      <c r="AI28" s="34"/>
      <c r="AJ28" s="31"/>
      <c r="AK28" s="31"/>
      <c r="AL28" s="34"/>
      <c r="AM28" s="34"/>
      <c r="AN28" s="31"/>
      <c r="AO28" s="31"/>
      <c r="AP28" s="34"/>
      <c r="AQ28" s="34"/>
      <c r="AR28" s="31"/>
      <c r="AS28" s="31"/>
      <c r="AT28" s="34"/>
      <c r="AU28" s="34"/>
      <c r="AV28" s="31"/>
      <c r="AW28" s="31"/>
      <c r="AX28" s="34"/>
      <c r="AY28" s="34"/>
      <c r="AZ28" s="31"/>
      <c r="BA28" s="31"/>
      <c r="BB28" s="34"/>
      <c r="BC28" s="34"/>
      <c r="BD28" s="31"/>
      <c r="BE28" s="31"/>
      <c r="BF28" s="34"/>
      <c r="BG28" s="34"/>
      <c r="BH28" s="31"/>
      <c r="BI28" s="31"/>
      <c r="BJ28" s="34"/>
      <c r="BK28" s="34"/>
      <c r="BL28" s="31"/>
      <c r="BM28" s="31"/>
      <c r="BN28" s="39">
        <f>SUMIFS($D28:$BM28,$D$9:$BM$9,$H$1)</f>
        <v>0</v>
      </c>
      <c r="BO28" s="39">
        <f>SUMIFS($D28:$BM28,$D$9:$BM$9,$H$2)</f>
        <v>0</v>
      </c>
      <c r="BP28" s="39">
        <f>BN28-BO28</f>
        <v>0</v>
      </c>
    </row>
    <row r="29" spans="2:68">
      <c r="B29" s="35" t="s">
        <v>52</v>
      </c>
      <c r="C29" s="35" t="s">
        <v>50</v>
      </c>
      <c r="D29" s="31"/>
      <c r="E29" s="32"/>
      <c r="F29" s="33"/>
      <c r="G29" s="33"/>
      <c r="H29" s="32"/>
      <c r="I29" s="32"/>
      <c r="J29" s="33"/>
      <c r="K29" s="33"/>
      <c r="L29" s="32"/>
      <c r="M29" s="32"/>
      <c r="N29" s="33"/>
      <c r="O29" s="33"/>
      <c r="P29" s="32"/>
      <c r="Q29" s="32"/>
      <c r="R29" s="33"/>
      <c r="S29" s="33"/>
      <c r="T29" s="32"/>
      <c r="U29" s="32"/>
      <c r="V29" s="33"/>
      <c r="W29" s="33"/>
      <c r="X29" s="32"/>
      <c r="Y29" s="32"/>
      <c r="Z29" s="33"/>
      <c r="AA29" s="33"/>
      <c r="AB29" s="32"/>
      <c r="AC29" s="32"/>
      <c r="AD29" s="33"/>
      <c r="AE29" s="33"/>
      <c r="AF29" s="32"/>
      <c r="AG29" s="32"/>
      <c r="AH29" s="33"/>
      <c r="AI29" s="33"/>
      <c r="AJ29" s="32"/>
      <c r="AK29" s="32"/>
      <c r="AL29" s="33"/>
      <c r="AM29" s="33"/>
      <c r="AN29" s="32"/>
      <c r="AO29" s="32"/>
      <c r="AP29" s="33"/>
      <c r="AQ29" s="33"/>
      <c r="AR29" s="32"/>
      <c r="AS29" s="32"/>
      <c r="AT29" s="33"/>
      <c r="AU29" s="33"/>
      <c r="AV29" s="32"/>
      <c r="AW29" s="32"/>
      <c r="AX29" s="33"/>
      <c r="AY29" s="33"/>
      <c r="AZ29" s="32"/>
      <c r="BA29" s="32"/>
      <c r="BB29" s="33"/>
      <c r="BC29" s="33"/>
      <c r="BD29" s="32"/>
      <c r="BE29" s="32"/>
      <c r="BF29" s="33"/>
      <c r="BG29" s="33"/>
      <c r="BH29" s="32"/>
      <c r="BI29" s="32"/>
      <c r="BJ29" s="33"/>
      <c r="BK29" s="33"/>
      <c r="BL29" s="32"/>
      <c r="BM29" s="31"/>
      <c r="BN29" s="39">
        <f>SUMIFS($D29:$BM29,$D$9:$BM$9,$H$1)</f>
        <v>0</v>
      </c>
      <c r="BO29" s="39">
        <f>SUMIFS($D29:$BM29,$D$9:$BM$9,$H$2)</f>
        <v>0</v>
      </c>
      <c r="BP29" s="39">
        <f>BN29-BO29</f>
        <v>0</v>
      </c>
    </row>
    <row r="30" spans="2:68">
      <c r="B30" s="35" t="s">
        <v>53</v>
      </c>
      <c r="C30" s="35" t="s">
        <v>54</v>
      </c>
      <c r="D30" s="31"/>
      <c r="E30" s="31"/>
      <c r="F30" s="34"/>
      <c r="G30" s="34"/>
      <c r="H30" s="31"/>
      <c r="I30" s="31"/>
      <c r="J30" s="34"/>
      <c r="K30" s="34"/>
      <c r="L30" s="31"/>
      <c r="M30" s="31"/>
      <c r="N30" s="34"/>
      <c r="O30" s="34"/>
      <c r="P30" s="31"/>
      <c r="Q30" s="31"/>
      <c r="R30" s="34"/>
      <c r="S30" s="34"/>
      <c r="T30" s="31"/>
      <c r="U30" s="31"/>
      <c r="V30" s="34"/>
      <c r="W30" s="34"/>
      <c r="X30" s="31"/>
      <c r="Y30" s="31"/>
      <c r="Z30" s="34"/>
      <c r="AA30" s="34"/>
      <c r="AB30" s="31"/>
      <c r="AC30" s="31"/>
      <c r="AD30" s="34"/>
      <c r="AE30" s="34"/>
      <c r="AF30" s="31"/>
      <c r="AG30" s="31"/>
      <c r="AH30" s="34"/>
      <c r="AI30" s="34"/>
      <c r="AJ30" s="31"/>
      <c r="AK30" s="31"/>
      <c r="AL30" s="34"/>
      <c r="AM30" s="34"/>
      <c r="AN30" s="31"/>
      <c r="AO30" s="31"/>
      <c r="AP30" s="34"/>
      <c r="AQ30" s="34"/>
      <c r="AR30" s="31"/>
      <c r="AS30" s="31"/>
      <c r="AT30" s="34"/>
      <c r="AU30" s="34"/>
      <c r="AV30" s="31"/>
      <c r="AW30" s="31"/>
      <c r="AX30" s="34"/>
      <c r="AY30" s="34"/>
      <c r="AZ30" s="31"/>
      <c r="BA30" s="31"/>
      <c r="BB30" s="34"/>
      <c r="BC30" s="34"/>
      <c r="BD30" s="31"/>
      <c r="BE30" s="31"/>
      <c r="BF30" s="34"/>
      <c r="BG30" s="34"/>
      <c r="BH30" s="31"/>
      <c r="BI30" s="31"/>
      <c r="BJ30" s="34"/>
      <c r="BK30" s="34"/>
      <c r="BL30" s="31"/>
      <c r="BM30" s="31"/>
      <c r="BN30" s="39">
        <f>SUMIFS($D30:$BM30,$D$9:$BM$9,$H$1)</f>
        <v>0</v>
      </c>
      <c r="BO30" s="39">
        <f>SUMIFS($D30:$BM30,$D$9:$BM$9,$H$2)</f>
        <v>0</v>
      </c>
      <c r="BP30" s="39">
        <f>BN30-BO30</f>
        <v>0</v>
      </c>
    </row>
    <row r="31" spans="2:68">
      <c r="B31" s="35" t="s">
        <v>55</v>
      </c>
      <c r="C31" s="35" t="s">
        <v>56</v>
      </c>
      <c r="D31" s="31"/>
      <c r="E31" s="31"/>
      <c r="F31" s="34"/>
      <c r="G31" s="34"/>
      <c r="H31" s="31"/>
      <c r="I31" s="31"/>
      <c r="J31" s="34"/>
      <c r="K31" s="34"/>
      <c r="L31" s="31"/>
      <c r="M31" s="31"/>
      <c r="N31" s="34"/>
      <c r="O31" s="34"/>
      <c r="P31" s="31"/>
      <c r="Q31" s="31"/>
      <c r="R31" s="34"/>
      <c r="S31" s="34"/>
      <c r="T31" s="31"/>
      <c r="U31" s="31"/>
      <c r="V31" s="34"/>
      <c r="W31" s="34"/>
      <c r="X31" s="31"/>
      <c r="Y31" s="31"/>
      <c r="Z31" s="34"/>
      <c r="AA31" s="34"/>
      <c r="AB31" s="31"/>
      <c r="AC31" s="31"/>
      <c r="AD31" s="34"/>
      <c r="AE31" s="34"/>
      <c r="AF31" s="31"/>
      <c r="AG31" s="31"/>
      <c r="AH31" s="34"/>
      <c r="AI31" s="34"/>
      <c r="AJ31" s="31"/>
      <c r="AK31" s="31"/>
      <c r="AL31" s="34"/>
      <c r="AM31" s="34"/>
      <c r="AN31" s="31"/>
      <c r="AO31" s="31"/>
      <c r="AP31" s="34"/>
      <c r="AQ31" s="34"/>
      <c r="AR31" s="31"/>
      <c r="AS31" s="31"/>
      <c r="AT31" s="34"/>
      <c r="AU31" s="34"/>
      <c r="AV31" s="31"/>
      <c r="AW31" s="31"/>
      <c r="AX31" s="34"/>
      <c r="AY31" s="34"/>
      <c r="AZ31" s="31"/>
      <c r="BA31" s="31"/>
      <c r="BB31" s="34"/>
      <c r="BC31" s="34"/>
      <c r="BD31" s="31"/>
      <c r="BE31" s="31"/>
      <c r="BF31" s="34"/>
      <c r="BG31" s="34"/>
      <c r="BH31" s="31"/>
      <c r="BI31" s="31"/>
      <c r="BJ31" s="34"/>
      <c r="BK31" s="34"/>
      <c r="BL31" s="31"/>
      <c r="BM31" s="31"/>
      <c r="BN31" s="39">
        <f>SUMIFS($D31:$BM31,$D$9:$BM$9,$H$1)</f>
        <v>0</v>
      </c>
      <c r="BO31" s="39">
        <f>SUMIFS($D31:$BM31,$D$9:$BM$9,$H$2)</f>
        <v>0</v>
      </c>
      <c r="BP31" s="39">
        <f>BN31-BO31</f>
        <v>0</v>
      </c>
    </row>
    <row r="32" spans="2:68">
      <c r="B32" s="35" t="s">
        <v>57</v>
      </c>
      <c r="C32" s="35" t="s">
        <v>56</v>
      </c>
      <c r="D32" s="31"/>
      <c r="E32" s="31"/>
      <c r="F32" s="34"/>
      <c r="G32" s="34"/>
      <c r="H32" s="31"/>
      <c r="I32" s="31"/>
      <c r="J32" s="34"/>
      <c r="K32" s="34"/>
      <c r="L32" s="31"/>
      <c r="M32" s="31"/>
      <c r="N32" s="34"/>
      <c r="O32" s="34"/>
      <c r="P32" s="31"/>
      <c r="Q32" s="31"/>
      <c r="R32" s="34"/>
      <c r="S32" s="34"/>
      <c r="T32" s="31"/>
      <c r="U32" s="31"/>
      <c r="V32" s="34"/>
      <c r="W32" s="34"/>
      <c r="X32" s="31"/>
      <c r="Y32" s="31"/>
      <c r="Z32" s="34"/>
      <c r="AA32" s="34"/>
      <c r="AB32" s="31"/>
      <c r="AC32" s="31"/>
      <c r="AD32" s="34"/>
      <c r="AE32" s="34"/>
      <c r="AF32" s="31"/>
      <c r="AG32" s="31"/>
      <c r="AH32" s="34"/>
      <c r="AI32" s="34"/>
      <c r="AJ32" s="31"/>
      <c r="AK32" s="31"/>
      <c r="AL32" s="34"/>
      <c r="AM32" s="34"/>
      <c r="AN32" s="31"/>
      <c r="AO32" s="31"/>
      <c r="AP32" s="34"/>
      <c r="AQ32" s="34"/>
      <c r="AR32" s="31"/>
      <c r="AS32" s="31"/>
      <c r="AT32" s="34"/>
      <c r="AU32" s="34"/>
      <c r="AV32" s="31"/>
      <c r="AW32" s="31"/>
      <c r="AX32" s="34"/>
      <c r="AY32" s="34"/>
      <c r="AZ32" s="31"/>
      <c r="BA32" s="31"/>
      <c r="BB32" s="34"/>
      <c r="BC32" s="34"/>
      <c r="BD32" s="31"/>
      <c r="BE32" s="31"/>
      <c r="BF32" s="34"/>
      <c r="BG32" s="34"/>
      <c r="BH32" s="31"/>
      <c r="BI32" s="31"/>
      <c r="BJ32" s="34"/>
      <c r="BK32" s="34"/>
      <c r="BL32" s="31"/>
      <c r="BM32" s="31"/>
      <c r="BN32" s="39">
        <f>SUMIFS($D32:$BM32,$D$9:$BM$9,$H$1)</f>
        <v>0</v>
      </c>
      <c r="BO32" s="39">
        <f>SUMIFS($D32:$BM32,$D$9:$BM$9,$H$2)</f>
        <v>0</v>
      </c>
      <c r="BP32" s="39">
        <f>BN32-BO32</f>
        <v>0</v>
      </c>
    </row>
    <row r="33" spans="2:68">
      <c r="B33" s="35" t="s">
        <v>58</v>
      </c>
      <c r="C33" s="35" t="s">
        <v>56</v>
      </c>
      <c r="D33" s="31"/>
      <c r="E33" s="31"/>
      <c r="F33" s="34"/>
      <c r="G33" s="34"/>
      <c r="H33" s="31"/>
      <c r="I33" s="31"/>
      <c r="J33" s="34"/>
      <c r="K33" s="34"/>
      <c r="L33" s="31"/>
      <c r="M33" s="31"/>
      <c r="N33" s="34"/>
      <c r="O33" s="34"/>
      <c r="P33" s="31"/>
      <c r="Q33" s="31"/>
      <c r="R33" s="34"/>
      <c r="S33" s="34"/>
      <c r="T33" s="31"/>
      <c r="U33" s="31"/>
      <c r="V33" s="34"/>
      <c r="W33" s="34"/>
      <c r="X33" s="31"/>
      <c r="Y33" s="31"/>
      <c r="Z33" s="34"/>
      <c r="AA33" s="34"/>
      <c r="AB33" s="31"/>
      <c r="AC33" s="31"/>
      <c r="AD33" s="34"/>
      <c r="AE33" s="34"/>
      <c r="AF33" s="31"/>
      <c r="AG33" s="31"/>
      <c r="AH33" s="34"/>
      <c r="AI33" s="34"/>
      <c r="AJ33" s="31"/>
      <c r="AK33" s="31"/>
      <c r="AL33" s="34"/>
      <c r="AM33" s="34"/>
      <c r="AN33" s="31"/>
      <c r="AO33" s="31"/>
      <c r="AP33" s="34"/>
      <c r="AQ33" s="34"/>
      <c r="AR33" s="31"/>
      <c r="AS33" s="31"/>
      <c r="AT33" s="34"/>
      <c r="AU33" s="34"/>
      <c r="AV33" s="31"/>
      <c r="AW33" s="31"/>
      <c r="AX33" s="34"/>
      <c r="AY33" s="34"/>
      <c r="AZ33" s="31"/>
      <c r="BA33" s="31"/>
      <c r="BB33" s="34"/>
      <c r="BC33" s="34"/>
      <c r="BD33" s="31"/>
      <c r="BE33" s="31"/>
      <c r="BF33" s="34"/>
      <c r="BG33" s="34"/>
      <c r="BH33" s="31"/>
      <c r="BI33" s="31"/>
      <c r="BJ33" s="34"/>
      <c r="BK33" s="34"/>
      <c r="BL33" s="31"/>
      <c r="BM33" s="31"/>
      <c r="BN33" s="39">
        <f>SUMIFS($D33:$BM33,$D$9:$BM$9,$H$1)</f>
        <v>0</v>
      </c>
      <c r="BO33" s="39">
        <f>SUMIFS($D33:$BM33,$D$9:$BM$9,$H$2)</f>
        <v>0</v>
      </c>
      <c r="BP33" s="39">
        <f>BN33-BO33</f>
        <v>0</v>
      </c>
    </row>
    <row r="34" spans="2:68">
      <c r="B34" s="35" t="s">
        <v>59</v>
      </c>
      <c r="C34" s="35" t="s">
        <v>56</v>
      </c>
      <c r="D34" s="31"/>
      <c r="E34" s="31"/>
      <c r="F34" s="34"/>
      <c r="G34" s="34"/>
      <c r="H34" s="31"/>
      <c r="I34" s="31"/>
      <c r="J34" s="34"/>
      <c r="K34" s="34"/>
      <c r="L34" s="31"/>
      <c r="M34" s="31"/>
      <c r="N34" s="34"/>
      <c r="O34" s="34"/>
      <c r="P34" s="31"/>
      <c r="Q34" s="31"/>
      <c r="R34" s="34"/>
      <c r="S34" s="34"/>
      <c r="T34" s="31"/>
      <c r="U34" s="31"/>
      <c r="V34" s="34"/>
      <c r="W34" s="34"/>
      <c r="X34" s="31"/>
      <c r="Y34" s="31"/>
      <c r="Z34" s="34"/>
      <c r="AA34" s="34"/>
      <c r="AB34" s="31"/>
      <c r="AC34" s="31"/>
      <c r="AD34" s="34"/>
      <c r="AE34" s="34"/>
      <c r="AF34" s="31"/>
      <c r="AG34" s="31"/>
      <c r="AH34" s="34"/>
      <c r="AI34" s="34"/>
      <c r="AJ34" s="31"/>
      <c r="AK34" s="31"/>
      <c r="AL34" s="34"/>
      <c r="AM34" s="34"/>
      <c r="AN34" s="31"/>
      <c r="AO34" s="31"/>
      <c r="AP34" s="34"/>
      <c r="AQ34" s="34"/>
      <c r="AR34" s="31"/>
      <c r="AS34" s="31"/>
      <c r="AT34" s="34"/>
      <c r="AU34" s="34"/>
      <c r="AV34" s="31"/>
      <c r="AW34" s="31"/>
      <c r="AX34" s="34"/>
      <c r="AY34" s="34"/>
      <c r="AZ34" s="31"/>
      <c r="BA34" s="31"/>
      <c r="BB34" s="34"/>
      <c r="BC34" s="34"/>
      <c r="BD34" s="31"/>
      <c r="BE34" s="31"/>
      <c r="BF34" s="34"/>
      <c r="BG34" s="34"/>
      <c r="BH34" s="31"/>
      <c r="BI34" s="31"/>
      <c r="BJ34" s="34"/>
      <c r="BK34" s="34"/>
      <c r="BL34" s="31"/>
      <c r="BM34" s="31"/>
      <c r="BN34" s="39">
        <f>SUMIFS($D34:$BM34,$D$9:$BM$9,$H$1)</f>
        <v>0</v>
      </c>
      <c r="BO34" s="39">
        <f>SUMIFS($D34:$BM34,$D$9:$BM$9,$H$2)</f>
        <v>0</v>
      </c>
      <c r="BP34" s="39">
        <f>BN34-BO34</f>
        <v>0</v>
      </c>
    </row>
    <row r="35" spans="2:68">
      <c r="B35" s="35" t="s">
        <v>60</v>
      </c>
      <c r="C35" s="35" t="s">
        <v>61</v>
      </c>
      <c r="D35" s="31"/>
      <c r="E35" s="31"/>
      <c r="F35" s="34"/>
      <c r="G35" s="34"/>
      <c r="H35" s="31"/>
      <c r="I35" s="31"/>
      <c r="J35" s="34"/>
      <c r="K35" s="34"/>
      <c r="L35" s="31"/>
      <c r="M35" s="31"/>
      <c r="N35" s="34"/>
      <c r="O35" s="34"/>
      <c r="P35" s="31"/>
      <c r="Q35" s="31"/>
      <c r="R35" s="34"/>
      <c r="S35" s="34"/>
      <c r="T35" s="31"/>
      <c r="U35" s="31"/>
      <c r="V35" s="34"/>
      <c r="W35" s="34"/>
      <c r="X35" s="31"/>
      <c r="Y35" s="31"/>
      <c r="Z35" s="34"/>
      <c r="AA35" s="34"/>
      <c r="AB35" s="31"/>
      <c r="AC35" s="31"/>
      <c r="AD35" s="34"/>
      <c r="AE35" s="34"/>
      <c r="AF35" s="31"/>
      <c r="AG35" s="31"/>
      <c r="AH35" s="34"/>
      <c r="AI35" s="34"/>
      <c r="AJ35" s="31"/>
      <c r="AK35" s="31"/>
      <c r="AL35" s="34"/>
      <c r="AM35" s="34"/>
      <c r="AN35" s="31"/>
      <c r="AO35" s="31"/>
      <c r="AP35" s="34"/>
      <c r="AQ35" s="34"/>
      <c r="AR35" s="31"/>
      <c r="AS35" s="31"/>
      <c r="AT35" s="34"/>
      <c r="AU35" s="34"/>
      <c r="AV35" s="31"/>
      <c r="AW35" s="31"/>
      <c r="AX35" s="34"/>
      <c r="AY35" s="34"/>
      <c r="AZ35" s="31"/>
      <c r="BA35" s="31"/>
      <c r="BB35" s="34"/>
      <c r="BC35" s="34"/>
      <c r="BD35" s="31"/>
      <c r="BE35" s="31"/>
      <c r="BF35" s="34"/>
      <c r="BG35" s="34"/>
      <c r="BH35" s="31"/>
      <c r="BI35" s="31"/>
      <c r="BJ35" s="34"/>
      <c r="BK35" s="34"/>
      <c r="BL35" s="31"/>
      <c r="BM35" s="31"/>
      <c r="BN35" s="39">
        <f>SUMIFS($D35:$BM35,$D$9:$BM$9,$H$1)</f>
        <v>0</v>
      </c>
      <c r="BO35" s="39">
        <f>SUMIFS($D35:$BM35,$D$9:$BM$9,$H$2)</f>
        <v>0</v>
      </c>
      <c r="BP35" s="39">
        <f>BN35-BO35</f>
        <v>0</v>
      </c>
    </row>
    <row r="36" spans="2:68">
      <c r="B36" s="35" t="s">
        <v>62</v>
      </c>
      <c r="C36" s="35" t="s">
        <v>63</v>
      </c>
      <c r="D36" s="31"/>
      <c r="E36" s="31"/>
      <c r="F36" s="34"/>
      <c r="G36" s="34"/>
      <c r="H36" s="31"/>
      <c r="I36" s="31"/>
      <c r="J36" s="34"/>
      <c r="K36" s="34"/>
      <c r="L36" s="31"/>
      <c r="M36" s="31"/>
      <c r="N36" s="34"/>
      <c r="O36" s="34"/>
      <c r="P36" s="31"/>
      <c r="Q36" s="31"/>
      <c r="R36" s="34"/>
      <c r="S36" s="34"/>
      <c r="T36" s="31"/>
      <c r="U36" s="31"/>
      <c r="V36" s="34"/>
      <c r="W36" s="34"/>
      <c r="X36" s="31"/>
      <c r="Y36" s="31"/>
      <c r="Z36" s="34"/>
      <c r="AA36" s="34"/>
      <c r="AB36" s="31"/>
      <c r="AC36" s="31"/>
      <c r="AD36" s="34"/>
      <c r="AE36" s="34"/>
      <c r="AF36" s="31"/>
      <c r="AG36" s="31"/>
      <c r="AH36" s="34"/>
      <c r="AI36" s="34"/>
      <c r="AJ36" s="31"/>
      <c r="AK36" s="31"/>
      <c r="AL36" s="34"/>
      <c r="AM36" s="34"/>
      <c r="AN36" s="31"/>
      <c r="AO36" s="31"/>
      <c r="AP36" s="34"/>
      <c r="AQ36" s="34"/>
      <c r="AR36" s="31"/>
      <c r="AS36" s="31"/>
      <c r="AT36" s="34"/>
      <c r="AU36" s="34"/>
      <c r="AV36" s="31"/>
      <c r="AW36" s="31"/>
      <c r="AX36" s="34"/>
      <c r="AY36" s="34"/>
      <c r="AZ36" s="31"/>
      <c r="BA36" s="31"/>
      <c r="BB36" s="34"/>
      <c r="BC36" s="34"/>
      <c r="BD36" s="31"/>
      <c r="BE36" s="31"/>
      <c r="BF36" s="34"/>
      <c r="BG36" s="34"/>
      <c r="BH36" s="31"/>
      <c r="BI36" s="31"/>
      <c r="BJ36" s="34"/>
      <c r="BK36" s="34"/>
      <c r="BL36" s="31"/>
      <c r="BM36" s="31"/>
      <c r="BN36" s="39">
        <f>SUMIFS($D36:$BM36,$D$9:$BM$9,$H$1)</f>
        <v>0</v>
      </c>
      <c r="BO36" s="39">
        <f>SUMIFS($D36:$BM36,$D$9:$BM$9,$H$2)</f>
        <v>0</v>
      </c>
      <c r="BP36" s="39">
        <f>BN36-BO36</f>
        <v>0</v>
      </c>
    </row>
    <row r="37" spans="2:68">
      <c r="B37" s="35" t="s">
        <v>64</v>
      </c>
      <c r="C37" s="35" t="s">
        <v>63</v>
      </c>
      <c r="D37" s="31"/>
      <c r="E37" s="31"/>
      <c r="F37" s="34"/>
      <c r="G37" s="34"/>
      <c r="H37" s="31"/>
      <c r="I37" s="31"/>
      <c r="J37" s="34"/>
      <c r="K37" s="34"/>
      <c r="L37" s="31"/>
      <c r="M37" s="31"/>
      <c r="N37" s="34"/>
      <c r="O37" s="34"/>
      <c r="P37" s="31"/>
      <c r="Q37" s="31"/>
      <c r="R37" s="34"/>
      <c r="S37" s="34"/>
      <c r="T37" s="31"/>
      <c r="U37" s="31"/>
      <c r="V37" s="34"/>
      <c r="W37" s="34"/>
      <c r="X37" s="31"/>
      <c r="Y37" s="31"/>
      <c r="Z37" s="34"/>
      <c r="AA37" s="34"/>
      <c r="AB37" s="31"/>
      <c r="AC37" s="31"/>
      <c r="AD37" s="34"/>
      <c r="AE37" s="34"/>
      <c r="AF37" s="31"/>
      <c r="AG37" s="31"/>
      <c r="AH37" s="34"/>
      <c r="AI37" s="34"/>
      <c r="AJ37" s="31"/>
      <c r="AK37" s="31"/>
      <c r="AL37" s="34"/>
      <c r="AM37" s="34"/>
      <c r="AN37" s="31"/>
      <c r="AO37" s="31"/>
      <c r="AP37" s="34"/>
      <c r="AQ37" s="34"/>
      <c r="AR37" s="31"/>
      <c r="AS37" s="31"/>
      <c r="AT37" s="34"/>
      <c r="AU37" s="34"/>
      <c r="AV37" s="31"/>
      <c r="AW37" s="31"/>
      <c r="AX37" s="34"/>
      <c r="AY37" s="34"/>
      <c r="AZ37" s="31"/>
      <c r="BA37" s="31"/>
      <c r="BB37" s="34"/>
      <c r="BC37" s="34"/>
      <c r="BD37" s="31"/>
      <c r="BE37" s="31"/>
      <c r="BF37" s="34"/>
      <c r="BG37" s="34"/>
      <c r="BH37" s="31"/>
      <c r="BI37" s="31"/>
      <c r="BJ37" s="34"/>
      <c r="BK37" s="34"/>
      <c r="BL37" s="31"/>
      <c r="BM37" s="31"/>
      <c r="BN37" s="39">
        <f>SUMIFS($D37:$BM37,$D$9:$BM$9,$H$1)</f>
        <v>0</v>
      </c>
      <c r="BO37" s="39">
        <f>SUMIFS($D37:$BM37,$D$9:$BM$9,$H$2)</f>
        <v>0</v>
      </c>
      <c r="BP37" s="39">
        <f>BN37-BO37</f>
        <v>0</v>
      </c>
    </row>
    <row r="38" spans="2:68">
      <c r="B38" s="35" t="s">
        <v>65</v>
      </c>
      <c r="C38" s="35" t="s">
        <v>66</v>
      </c>
      <c r="D38" s="31"/>
      <c r="E38" s="31"/>
      <c r="F38" s="34"/>
      <c r="G38" s="34"/>
      <c r="H38" s="31"/>
      <c r="I38" s="31"/>
      <c r="J38" s="34"/>
      <c r="K38" s="34"/>
      <c r="L38" s="31"/>
      <c r="M38" s="31"/>
      <c r="N38" s="34"/>
      <c r="O38" s="34"/>
      <c r="P38" s="31"/>
      <c r="Q38" s="31"/>
      <c r="R38" s="34"/>
      <c r="S38" s="34"/>
      <c r="T38" s="31"/>
      <c r="U38" s="31"/>
      <c r="V38" s="34"/>
      <c r="W38" s="34"/>
      <c r="X38" s="31"/>
      <c r="Y38" s="31"/>
      <c r="Z38" s="34"/>
      <c r="AA38" s="34"/>
      <c r="AB38" s="31"/>
      <c r="AC38" s="31"/>
      <c r="AD38" s="34"/>
      <c r="AE38" s="34"/>
      <c r="AF38" s="31"/>
      <c r="AG38" s="31"/>
      <c r="AH38" s="34"/>
      <c r="AI38" s="34"/>
      <c r="AJ38" s="31"/>
      <c r="AK38" s="31"/>
      <c r="AL38" s="34"/>
      <c r="AM38" s="34"/>
      <c r="AN38" s="31"/>
      <c r="AO38" s="31"/>
      <c r="AP38" s="34"/>
      <c r="AQ38" s="34"/>
      <c r="AR38" s="31"/>
      <c r="AS38" s="31"/>
      <c r="AT38" s="34"/>
      <c r="AU38" s="34"/>
      <c r="AV38" s="31"/>
      <c r="AW38" s="31"/>
      <c r="AX38" s="34"/>
      <c r="AY38" s="34"/>
      <c r="AZ38" s="31"/>
      <c r="BA38" s="31"/>
      <c r="BB38" s="34"/>
      <c r="BC38" s="34"/>
      <c r="BD38" s="31"/>
      <c r="BE38" s="31"/>
      <c r="BF38" s="34"/>
      <c r="BG38" s="34"/>
      <c r="BH38" s="31"/>
      <c r="BI38" s="31"/>
      <c r="BJ38" s="34"/>
      <c r="BK38" s="34"/>
      <c r="BL38" s="31"/>
      <c r="BM38" s="31"/>
      <c r="BN38" s="39">
        <f>SUMIFS($D38:$BM38,$D$9:$BM$9,$H$1)</f>
        <v>0</v>
      </c>
      <c r="BO38" s="39">
        <f>SUMIFS($D38:$BM38,$D$9:$BM$9,$H$2)</f>
        <v>0</v>
      </c>
      <c r="BP38" s="39">
        <f>BN38-BO38</f>
        <v>0</v>
      </c>
    </row>
    <row r="39" spans="2:68">
      <c r="B39" s="35" t="s">
        <v>67</v>
      </c>
      <c r="C39" s="35" t="s">
        <v>68</v>
      </c>
      <c r="D39" s="31"/>
      <c r="E39" s="31"/>
      <c r="F39" s="34"/>
      <c r="G39" s="34"/>
      <c r="H39" s="31"/>
      <c r="I39" s="31"/>
      <c r="J39" s="34"/>
      <c r="K39" s="34"/>
      <c r="L39" s="31"/>
      <c r="M39" s="31"/>
      <c r="N39" s="34"/>
      <c r="O39" s="34"/>
      <c r="P39" s="31"/>
      <c r="Q39" s="31"/>
      <c r="R39" s="34"/>
      <c r="S39" s="34"/>
      <c r="T39" s="31"/>
      <c r="U39" s="31"/>
      <c r="V39" s="34"/>
      <c r="W39" s="34"/>
      <c r="X39" s="31"/>
      <c r="Y39" s="31"/>
      <c r="Z39" s="34"/>
      <c r="AA39" s="34"/>
      <c r="AB39" s="31"/>
      <c r="AC39" s="31"/>
      <c r="AD39" s="34"/>
      <c r="AE39" s="34"/>
      <c r="AF39" s="31"/>
      <c r="AG39" s="31"/>
      <c r="AH39" s="34"/>
      <c r="AI39" s="34"/>
      <c r="AJ39" s="31"/>
      <c r="AK39" s="31"/>
      <c r="AL39" s="34"/>
      <c r="AM39" s="34"/>
      <c r="AN39" s="31"/>
      <c r="AO39" s="31"/>
      <c r="AP39" s="34"/>
      <c r="AQ39" s="34"/>
      <c r="AR39" s="31"/>
      <c r="AS39" s="31"/>
      <c r="AT39" s="34"/>
      <c r="AU39" s="34"/>
      <c r="AV39" s="31"/>
      <c r="AW39" s="31"/>
      <c r="AX39" s="34"/>
      <c r="AY39" s="34"/>
      <c r="AZ39" s="31"/>
      <c r="BA39" s="31"/>
      <c r="BB39" s="34"/>
      <c r="BC39" s="34"/>
      <c r="BD39" s="31"/>
      <c r="BE39" s="31"/>
      <c r="BF39" s="34"/>
      <c r="BG39" s="34"/>
      <c r="BH39" s="31"/>
      <c r="BI39" s="31"/>
      <c r="BJ39" s="34"/>
      <c r="BK39" s="34"/>
      <c r="BL39" s="31"/>
      <c r="BM39" s="31"/>
      <c r="BN39" s="39">
        <f>SUMIFS($D39:$BM39,$D$9:$BM$9,$H$1)</f>
        <v>0</v>
      </c>
      <c r="BO39" s="39">
        <f>SUMIFS($D39:$BM39,$D$9:$BM$9,$H$2)</f>
        <v>0</v>
      </c>
      <c r="BP39" s="39">
        <f>BN39-BO39</f>
        <v>0</v>
      </c>
    </row>
    <row r="40" spans="2:68">
      <c r="B40" s="35" t="s">
        <v>69</v>
      </c>
      <c r="C40" s="35" t="s">
        <v>70</v>
      </c>
      <c r="D40" s="31"/>
      <c r="E40" s="31"/>
      <c r="F40" s="34"/>
      <c r="G40" s="34"/>
      <c r="H40" s="31"/>
      <c r="I40" s="31"/>
      <c r="J40" s="34"/>
      <c r="K40" s="34"/>
      <c r="L40" s="31"/>
      <c r="M40" s="31"/>
      <c r="N40" s="34"/>
      <c r="O40" s="34"/>
      <c r="P40" s="31"/>
      <c r="Q40" s="31"/>
      <c r="R40" s="34"/>
      <c r="S40" s="34"/>
      <c r="T40" s="31"/>
      <c r="U40" s="31"/>
      <c r="V40" s="34"/>
      <c r="W40" s="34"/>
      <c r="X40" s="31"/>
      <c r="Y40" s="31"/>
      <c r="Z40" s="34"/>
      <c r="AA40" s="34"/>
      <c r="AB40" s="31"/>
      <c r="AC40" s="31"/>
      <c r="AD40" s="34"/>
      <c r="AE40" s="34"/>
      <c r="AF40" s="31"/>
      <c r="AG40" s="31"/>
      <c r="AH40" s="34"/>
      <c r="AI40" s="34"/>
      <c r="AJ40" s="31"/>
      <c r="AK40" s="31"/>
      <c r="AL40" s="34"/>
      <c r="AM40" s="34"/>
      <c r="AN40" s="31"/>
      <c r="AO40" s="31"/>
      <c r="AP40" s="34"/>
      <c r="AQ40" s="34"/>
      <c r="AR40" s="31"/>
      <c r="AS40" s="31"/>
      <c r="AT40" s="34"/>
      <c r="AU40" s="34"/>
      <c r="AV40" s="31"/>
      <c r="AW40" s="31"/>
      <c r="AX40" s="34"/>
      <c r="AY40" s="34"/>
      <c r="AZ40" s="31"/>
      <c r="BA40" s="31"/>
      <c r="BB40" s="34"/>
      <c r="BC40" s="34"/>
      <c r="BD40" s="31"/>
      <c r="BE40" s="31"/>
      <c r="BF40" s="34"/>
      <c r="BG40" s="34"/>
      <c r="BH40" s="31"/>
      <c r="BI40" s="31"/>
      <c r="BJ40" s="34"/>
      <c r="BK40" s="34"/>
      <c r="BL40" s="31"/>
      <c r="BM40" s="31"/>
      <c r="BN40" s="39">
        <f>SUMIFS($D40:$BM40,$D$9:$BM$9,$H$1)</f>
        <v>0</v>
      </c>
      <c r="BO40" s="39">
        <f>SUMIFS($D40:$BM40,$D$9:$BM$9,$H$2)</f>
        <v>0</v>
      </c>
      <c r="BP40" s="39">
        <f>BN40-BO40</f>
        <v>0</v>
      </c>
    </row>
    <row r="41" spans="2:68">
      <c r="B41" s="35" t="s">
        <v>71</v>
      </c>
      <c r="C41" s="35" t="s">
        <v>72</v>
      </c>
      <c r="D41" s="31"/>
      <c r="E41" s="31"/>
      <c r="F41" s="34"/>
      <c r="G41" s="34"/>
      <c r="H41" s="31"/>
      <c r="I41" s="31"/>
      <c r="J41" s="34"/>
      <c r="K41" s="34"/>
      <c r="L41" s="31"/>
      <c r="M41" s="31"/>
      <c r="N41" s="34"/>
      <c r="O41" s="34"/>
      <c r="P41" s="31"/>
      <c r="Q41" s="31"/>
      <c r="R41" s="34"/>
      <c r="S41" s="34"/>
      <c r="T41" s="31"/>
      <c r="U41" s="31"/>
      <c r="V41" s="34"/>
      <c r="W41" s="34"/>
      <c r="X41" s="31"/>
      <c r="Y41" s="31"/>
      <c r="Z41" s="34"/>
      <c r="AA41" s="34"/>
      <c r="AB41" s="31"/>
      <c r="AC41" s="31"/>
      <c r="AD41" s="34"/>
      <c r="AE41" s="34"/>
      <c r="AF41" s="31"/>
      <c r="AG41" s="31"/>
      <c r="AH41" s="34"/>
      <c r="AI41" s="34"/>
      <c r="AJ41" s="31"/>
      <c r="AK41" s="31"/>
      <c r="AL41" s="34"/>
      <c r="AM41" s="34"/>
      <c r="AN41" s="31"/>
      <c r="AO41" s="31"/>
      <c r="AP41" s="34"/>
      <c r="AQ41" s="34"/>
      <c r="AR41" s="31"/>
      <c r="AS41" s="31"/>
      <c r="AT41" s="34"/>
      <c r="AU41" s="34"/>
      <c r="AV41" s="31"/>
      <c r="AW41" s="31"/>
      <c r="AX41" s="34"/>
      <c r="AY41" s="34"/>
      <c r="AZ41" s="31"/>
      <c r="BA41" s="31"/>
      <c r="BB41" s="34"/>
      <c r="BC41" s="34"/>
      <c r="BD41" s="31"/>
      <c r="BE41" s="31"/>
      <c r="BF41" s="34"/>
      <c r="BG41" s="34"/>
      <c r="BH41" s="31"/>
      <c r="BI41" s="31"/>
      <c r="BJ41" s="34"/>
      <c r="BK41" s="34"/>
      <c r="BL41" s="31"/>
      <c r="BM41" s="31"/>
      <c r="BN41" s="39">
        <f>SUMIFS($D41:$BM41,$D$9:$BM$9,$H$1)</f>
        <v>0</v>
      </c>
      <c r="BO41" s="39">
        <f>SUMIFS($D41:$BM41,$D$9:$BM$9,$H$2)</f>
        <v>0</v>
      </c>
      <c r="BP41" s="39">
        <f>BN41-BO41</f>
        <v>0</v>
      </c>
    </row>
    <row r="42" spans="2:68">
      <c r="B42" s="35" t="s">
        <v>73</v>
      </c>
      <c r="C42" s="35" t="s">
        <v>74</v>
      </c>
      <c r="D42" s="31"/>
      <c r="E42" s="31"/>
      <c r="F42" s="34"/>
      <c r="G42" s="34"/>
      <c r="H42" s="31"/>
      <c r="I42" s="31"/>
      <c r="J42" s="34"/>
      <c r="K42" s="34"/>
      <c r="L42" s="31"/>
      <c r="M42" s="31"/>
      <c r="N42" s="34"/>
      <c r="O42" s="34"/>
      <c r="P42" s="31"/>
      <c r="Q42" s="31"/>
      <c r="R42" s="34"/>
      <c r="S42" s="34"/>
      <c r="T42" s="31"/>
      <c r="U42" s="31"/>
      <c r="V42" s="34"/>
      <c r="W42" s="34"/>
      <c r="X42" s="31"/>
      <c r="Y42" s="31"/>
      <c r="Z42" s="34"/>
      <c r="AA42" s="34"/>
      <c r="AB42" s="31"/>
      <c r="AC42" s="31"/>
      <c r="AD42" s="34"/>
      <c r="AE42" s="34"/>
      <c r="AF42" s="31"/>
      <c r="AG42" s="31"/>
      <c r="AH42" s="34"/>
      <c r="AI42" s="34"/>
      <c r="AJ42" s="31"/>
      <c r="AK42" s="31"/>
      <c r="AL42" s="34"/>
      <c r="AM42" s="34"/>
      <c r="AN42" s="31"/>
      <c r="AO42" s="31"/>
      <c r="AP42" s="34"/>
      <c r="AQ42" s="34"/>
      <c r="AR42" s="31"/>
      <c r="AS42" s="31"/>
      <c r="AT42" s="34"/>
      <c r="AU42" s="34"/>
      <c r="AV42" s="31"/>
      <c r="AW42" s="31"/>
      <c r="AX42" s="34"/>
      <c r="AY42" s="34"/>
      <c r="AZ42" s="31"/>
      <c r="BA42" s="31"/>
      <c r="BB42" s="34"/>
      <c r="BC42" s="34"/>
      <c r="BD42" s="31"/>
      <c r="BE42" s="31"/>
      <c r="BF42" s="34"/>
      <c r="BG42" s="34"/>
      <c r="BH42" s="31"/>
      <c r="BI42" s="31"/>
      <c r="BJ42" s="34"/>
      <c r="BK42" s="34"/>
      <c r="BL42" s="31"/>
      <c r="BM42" s="31"/>
      <c r="BN42" s="39">
        <f>SUMIFS($D42:$BM42,$D$9:$BM$9,$H$1)</f>
        <v>0</v>
      </c>
      <c r="BO42" s="39">
        <f>SUMIFS($D42:$BM42,$D$9:$BM$9,$H$2)</f>
        <v>0</v>
      </c>
      <c r="BP42" s="39">
        <f>BN42-BO42</f>
        <v>0</v>
      </c>
    </row>
    <row r="43" spans="2:68">
      <c r="B43" s="35" t="s">
        <v>75</v>
      </c>
      <c r="C43" s="35" t="s">
        <v>76</v>
      </c>
      <c r="D43" s="31"/>
      <c r="E43" s="31"/>
      <c r="F43" s="34"/>
      <c r="G43" s="34"/>
      <c r="H43" s="31"/>
      <c r="I43" s="31"/>
      <c r="J43" s="34"/>
      <c r="K43" s="34"/>
      <c r="L43" s="31"/>
      <c r="M43" s="31"/>
      <c r="N43" s="34"/>
      <c r="O43" s="34"/>
      <c r="P43" s="31"/>
      <c r="Q43" s="31"/>
      <c r="R43" s="34"/>
      <c r="S43" s="34"/>
      <c r="T43" s="31"/>
      <c r="U43" s="31"/>
      <c r="V43" s="34"/>
      <c r="W43" s="34"/>
      <c r="X43" s="31"/>
      <c r="Y43" s="31"/>
      <c r="Z43" s="34"/>
      <c r="AA43" s="34"/>
      <c r="AB43" s="31"/>
      <c r="AC43" s="31"/>
      <c r="AD43" s="34"/>
      <c r="AE43" s="34"/>
      <c r="AF43" s="31"/>
      <c r="AG43" s="31"/>
      <c r="AH43" s="34"/>
      <c r="AI43" s="34"/>
      <c r="AJ43" s="31"/>
      <c r="AK43" s="31"/>
      <c r="AL43" s="34"/>
      <c r="AM43" s="34"/>
      <c r="AN43" s="31"/>
      <c r="AO43" s="31"/>
      <c r="AP43" s="34"/>
      <c r="AQ43" s="34"/>
      <c r="AR43" s="31"/>
      <c r="AS43" s="31"/>
      <c r="AT43" s="34"/>
      <c r="AU43" s="34"/>
      <c r="AV43" s="31"/>
      <c r="AW43" s="31"/>
      <c r="AX43" s="34"/>
      <c r="AY43" s="34"/>
      <c r="AZ43" s="31"/>
      <c r="BA43" s="31"/>
      <c r="BB43" s="34"/>
      <c r="BC43" s="34"/>
      <c r="BD43" s="31"/>
      <c r="BE43" s="31"/>
      <c r="BF43" s="34"/>
      <c r="BG43" s="34"/>
      <c r="BH43" s="31"/>
      <c r="BI43" s="31"/>
      <c r="BJ43" s="34"/>
      <c r="BK43" s="34"/>
      <c r="BL43" s="31"/>
      <c r="BM43" s="31"/>
      <c r="BN43" s="39">
        <f>SUMIFS($D43:$BM43,$D$9:$BM$9,$H$1)</f>
        <v>0</v>
      </c>
      <c r="BO43" s="39">
        <f>SUMIFS($D43:$BM43,$D$9:$BM$9,$H$2)</f>
        <v>0</v>
      </c>
      <c r="BP43" s="39">
        <f>BN43-BO43</f>
        <v>0</v>
      </c>
    </row>
    <row r="44" spans="2:68">
      <c r="B44" s="35" t="s">
        <v>77</v>
      </c>
      <c r="C44" s="35" t="s">
        <v>78</v>
      </c>
      <c r="D44" s="31"/>
      <c r="E44" s="31"/>
      <c r="F44" s="34"/>
      <c r="G44" s="34"/>
      <c r="H44" s="31"/>
      <c r="I44" s="31"/>
      <c r="J44" s="34"/>
      <c r="K44" s="34"/>
      <c r="L44" s="31"/>
      <c r="M44" s="31"/>
      <c r="N44" s="34"/>
      <c r="O44" s="34"/>
      <c r="P44" s="31"/>
      <c r="Q44" s="31"/>
      <c r="R44" s="34"/>
      <c r="S44" s="34"/>
      <c r="T44" s="31"/>
      <c r="U44" s="31"/>
      <c r="V44" s="34"/>
      <c r="W44" s="34"/>
      <c r="X44" s="31"/>
      <c r="Y44" s="31"/>
      <c r="Z44" s="34"/>
      <c r="AA44" s="34"/>
      <c r="AB44" s="31"/>
      <c r="AC44" s="31"/>
      <c r="AD44" s="34"/>
      <c r="AE44" s="34"/>
      <c r="AF44" s="31"/>
      <c r="AG44" s="31"/>
      <c r="AH44" s="34"/>
      <c r="AI44" s="34"/>
      <c r="AJ44" s="31"/>
      <c r="AK44" s="31"/>
      <c r="AL44" s="34"/>
      <c r="AM44" s="34"/>
      <c r="AN44" s="31"/>
      <c r="AO44" s="31"/>
      <c r="AP44" s="34"/>
      <c r="AQ44" s="34"/>
      <c r="AR44" s="31"/>
      <c r="AS44" s="31"/>
      <c r="AT44" s="34"/>
      <c r="AU44" s="34"/>
      <c r="AV44" s="31"/>
      <c r="AW44" s="31"/>
      <c r="AX44" s="34"/>
      <c r="AY44" s="34"/>
      <c r="AZ44" s="31"/>
      <c r="BA44" s="31"/>
      <c r="BB44" s="34"/>
      <c r="BC44" s="34"/>
      <c r="BD44" s="31"/>
      <c r="BE44" s="31"/>
      <c r="BF44" s="34"/>
      <c r="BG44" s="34"/>
      <c r="BH44" s="31"/>
      <c r="BI44" s="31"/>
      <c r="BJ44" s="34"/>
      <c r="BK44" s="34"/>
      <c r="BL44" s="31"/>
      <c r="BM44" s="31"/>
      <c r="BN44" s="39">
        <f>SUMIFS($D44:$BM44,$D$9:$BM$9,$H$1)</f>
        <v>0</v>
      </c>
      <c r="BO44" s="39">
        <f>SUMIFS($D44:$BM44,$D$9:$BM$9,$H$2)</f>
        <v>0</v>
      </c>
      <c r="BP44" s="39">
        <f>BN44-BO44</f>
        <v>0</v>
      </c>
    </row>
    <row r="45" spans="2:68">
      <c r="B45" s="35" t="s">
        <v>79</v>
      </c>
      <c r="C45" s="35" t="s">
        <v>78</v>
      </c>
      <c r="D45" s="31"/>
      <c r="E45" s="31"/>
      <c r="F45" s="34"/>
      <c r="G45" s="34"/>
      <c r="H45" s="31"/>
      <c r="I45" s="31"/>
      <c r="J45" s="34"/>
      <c r="K45" s="34"/>
      <c r="L45" s="31"/>
      <c r="M45" s="31"/>
      <c r="N45" s="34"/>
      <c r="O45" s="34"/>
      <c r="P45" s="31"/>
      <c r="Q45" s="31"/>
      <c r="R45" s="34"/>
      <c r="S45" s="34"/>
      <c r="T45" s="31"/>
      <c r="U45" s="31"/>
      <c r="V45" s="34"/>
      <c r="W45" s="34"/>
      <c r="X45" s="31"/>
      <c r="Y45" s="31"/>
      <c r="Z45" s="34"/>
      <c r="AA45" s="34"/>
      <c r="AB45" s="31"/>
      <c r="AC45" s="31"/>
      <c r="AD45" s="34"/>
      <c r="AE45" s="34"/>
      <c r="AF45" s="31"/>
      <c r="AG45" s="31"/>
      <c r="AH45" s="34"/>
      <c r="AI45" s="34"/>
      <c r="AJ45" s="31"/>
      <c r="AK45" s="31"/>
      <c r="AL45" s="34"/>
      <c r="AM45" s="34"/>
      <c r="AN45" s="31"/>
      <c r="AO45" s="31"/>
      <c r="AP45" s="34"/>
      <c r="AQ45" s="34"/>
      <c r="AR45" s="31"/>
      <c r="AS45" s="31"/>
      <c r="AT45" s="34"/>
      <c r="AU45" s="34"/>
      <c r="AV45" s="31"/>
      <c r="AW45" s="31"/>
      <c r="AX45" s="34"/>
      <c r="AY45" s="34"/>
      <c r="AZ45" s="31"/>
      <c r="BA45" s="31"/>
      <c r="BB45" s="34"/>
      <c r="BC45" s="34"/>
      <c r="BD45" s="31"/>
      <c r="BE45" s="31"/>
      <c r="BF45" s="34"/>
      <c r="BG45" s="34"/>
      <c r="BH45" s="31"/>
      <c r="BI45" s="31"/>
      <c r="BJ45" s="34"/>
      <c r="BK45" s="34"/>
      <c r="BL45" s="31"/>
      <c r="BM45" s="31"/>
      <c r="BN45" s="39">
        <f>SUMIFS($D45:$BM45,$D$9:$BM$9,$H$1)</f>
        <v>0</v>
      </c>
      <c r="BO45" s="39">
        <f>SUMIFS($D45:$BM45,$D$9:$BM$9,$H$2)</f>
        <v>0</v>
      </c>
      <c r="BP45" s="39">
        <f>BN45-BO45</f>
        <v>0</v>
      </c>
    </row>
    <row r="46" spans="2:68">
      <c r="B46" s="35" t="s">
        <v>80</v>
      </c>
      <c r="C46" s="35" t="s">
        <v>81</v>
      </c>
      <c r="D46" s="31"/>
      <c r="E46" s="31"/>
      <c r="F46" s="34"/>
      <c r="G46" s="34"/>
      <c r="H46" s="31"/>
      <c r="I46" s="31"/>
      <c r="J46" s="34"/>
      <c r="K46" s="34"/>
      <c r="L46" s="31"/>
      <c r="M46" s="31"/>
      <c r="N46" s="34"/>
      <c r="O46" s="34"/>
      <c r="P46" s="31"/>
      <c r="Q46" s="31"/>
      <c r="R46" s="34"/>
      <c r="S46" s="34"/>
      <c r="T46" s="31"/>
      <c r="U46" s="31"/>
      <c r="V46" s="34"/>
      <c r="W46" s="34"/>
      <c r="X46" s="31"/>
      <c r="Y46" s="31"/>
      <c r="Z46" s="34"/>
      <c r="AA46" s="34"/>
      <c r="AB46" s="31"/>
      <c r="AC46" s="31"/>
      <c r="AD46" s="34"/>
      <c r="AE46" s="34"/>
      <c r="AF46" s="31"/>
      <c r="AG46" s="31"/>
      <c r="AH46" s="34"/>
      <c r="AI46" s="34"/>
      <c r="AJ46" s="31"/>
      <c r="AK46" s="31"/>
      <c r="AL46" s="34"/>
      <c r="AM46" s="34"/>
      <c r="AN46" s="31"/>
      <c r="AO46" s="31"/>
      <c r="AP46" s="34"/>
      <c r="AQ46" s="34"/>
      <c r="AR46" s="31"/>
      <c r="AS46" s="31"/>
      <c r="AT46" s="34"/>
      <c r="AU46" s="34"/>
      <c r="AV46" s="31"/>
      <c r="AW46" s="31"/>
      <c r="AX46" s="34"/>
      <c r="AY46" s="34"/>
      <c r="AZ46" s="31"/>
      <c r="BA46" s="31"/>
      <c r="BB46" s="34"/>
      <c r="BC46" s="34"/>
      <c r="BD46" s="31"/>
      <c r="BE46" s="31"/>
      <c r="BF46" s="34"/>
      <c r="BG46" s="34"/>
      <c r="BH46" s="31"/>
      <c r="BI46" s="31"/>
      <c r="BJ46" s="34"/>
      <c r="BK46" s="34"/>
      <c r="BL46" s="31"/>
      <c r="BM46" s="31"/>
      <c r="BN46" s="39">
        <f>SUMIFS($D46:$BM46,$D$9:$BM$9,$H$1)</f>
        <v>0</v>
      </c>
      <c r="BO46" s="39">
        <f>SUMIFS($D46:$BM46,$D$9:$BM$9,$H$2)</f>
        <v>0</v>
      </c>
      <c r="BP46" s="39">
        <f>BN46-BO46</f>
        <v>0</v>
      </c>
    </row>
    <row r="47" spans="2:68">
      <c r="B47" s="35" t="s">
        <v>82</v>
      </c>
      <c r="C47" s="35" t="s">
        <v>81</v>
      </c>
      <c r="D47" s="31"/>
      <c r="E47" s="31"/>
      <c r="F47" s="34"/>
      <c r="G47" s="34"/>
      <c r="H47" s="31"/>
      <c r="I47" s="31"/>
      <c r="J47" s="34"/>
      <c r="K47" s="34"/>
      <c r="L47" s="31"/>
      <c r="M47" s="31"/>
      <c r="N47" s="34"/>
      <c r="O47" s="34"/>
      <c r="P47" s="31"/>
      <c r="Q47" s="31"/>
      <c r="R47" s="34"/>
      <c r="S47" s="34"/>
      <c r="T47" s="31"/>
      <c r="U47" s="31"/>
      <c r="V47" s="34"/>
      <c r="W47" s="34"/>
      <c r="X47" s="31"/>
      <c r="Y47" s="31"/>
      <c r="Z47" s="34"/>
      <c r="AA47" s="34"/>
      <c r="AB47" s="31"/>
      <c r="AC47" s="31"/>
      <c r="AD47" s="34"/>
      <c r="AE47" s="34"/>
      <c r="AF47" s="31"/>
      <c r="AG47" s="31"/>
      <c r="AH47" s="34"/>
      <c r="AI47" s="34"/>
      <c r="AJ47" s="31"/>
      <c r="AK47" s="31"/>
      <c r="AL47" s="34"/>
      <c r="AM47" s="34"/>
      <c r="AN47" s="31"/>
      <c r="AO47" s="31"/>
      <c r="AP47" s="34"/>
      <c r="AQ47" s="34"/>
      <c r="AR47" s="31"/>
      <c r="AS47" s="31"/>
      <c r="AT47" s="34"/>
      <c r="AU47" s="34"/>
      <c r="AV47" s="31"/>
      <c r="AW47" s="31"/>
      <c r="AX47" s="34"/>
      <c r="AY47" s="34"/>
      <c r="AZ47" s="31"/>
      <c r="BA47" s="31"/>
      <c r="BB47" s="34"/>
      <c r="BC47" s="34"/>
      <c r="BD47" s="31"/>
      <c r="BE47" s="31"/>
      <c r="BF47" s="34"/>
      <c r="BG47" s="34"/>
      <c r="BH47" s="31"/>
      <c r="BI47" s="31"/>
      <c r="BJ47" s="34"/>
      <c r="BK47" s="34"/>
      <c r="BL47" s="31"/>
      <c r="BM47" s="31"/>
      <c r="BN47" s="39">
        <f>SUMIFS($D47:$BM47,$D$9:$BM$9,$H$1)</f>
        <v>0</v>
      </c>
      <c r="BO47" s="39">
        <f>SUMIFS($D47:$BM47,$D$9:$BM$9,$H$2)</f>
        <v>0</v>
      </c>
      <c r="BP47" s="39">
        <f>BN47-BO47</f>
        <v>0</v>
      </c>
    </row>
    <row r="48" spans="2:68">
      <c r="B48" s="35" t="s">
        <v>83</v>
      </c>
      <c r="C48" s="35" t="s">
        <v>84</v>
      </c>
      <c r="D48" s="32"/>
      <c r="E48" s="32"/>
      <c r="F48" s="33"/>
      <c r="G48" s="33"/>
      <c r="H48" s="32"/>
      <c r="I48" s="32"/>
      <c r="J48" s="33"/>
      <c r="K48" s="33"/>
      <c r="L48" s="32"/>
      <c r="M48" s="32"/>
      <c r="N48" s="33"/>
      <c r="O48" s="33"/>
      <c r="P48" s="32"/>
      <c r="Q48" s="32"/>
      <c r="R48" s="33"/>
      <c r="S48" s="33"/>
      <c r="T48" s="32"/>
      <c r="U48" s="32"/>
      <c r="V48" s="33"/>
      <c r="W48" s="33"/>
      <c r="X48" s="32"/>
      <c r="Y48" s="32"/>
      <c r="Z48" s="33"/>
      <c r="AA48" s="33"/>
      <c r="AB48" s="32"/>
      <c r="AC48" s="32"/>
      <c r="AD48" s="33"/>
      <c r="AE48" s="33"/>
      <c r="AF48" s="32"/>
      <c r="AG48" s="32"/>
      <c r="AH48" s="33"/>
      <c r="AI48" s="33"/>
      <c r="AJ48" s="32"/>
      <c r="AK48" s="32"/>
      <c r="AL48" s="33"/>
      <c r="AM48" s="33"/>
      <c r="AN48" s="32"/>
      <c r="AO48" s="32"/>
      <c r="AP48" s="33"/>
      <c r="AQ48" s="33"/>
      <c r="AR48" s="32"/>
      <c r="AS48" s="32"/>
      <c r="AT48" s="33"/>
      <c r="AU48" s="33"/>
      <c r="AV48" s="32"/>
      <c r="AW48" s="32"/>
      <c r="AX48" s="33"/>
      <c r="AY48" s="33"/>
      <c r="AZ48" s="32"/>
      <c r="BA48" s="32"/>
      <c r="BB48" s="33"/>
      <c r="BC48" s="33"/>
      <c r="BD48" s="32"/>
      <c r="BE48" s="32"/>
      <c r="BF48" s="33"/>
      <c r="BG48" s="33"/>
      <c r="BH48" s="32"/>
      <c r="BI48" s="32"/>
      <c r="BJ48" s="33"/>
      <c r="BK48" s="33"/>
      <c r="BL48" s="32"/>
      <c r="BM48" s="32"/>
      <c r="BN48" s="39">
        <f>SUMIFS($D48:$BM48,$D$9:$BM$9,$H$1)</f>
        <v>0</v>
      </c>
      <c r="BO48" s="39">
        <f>SUMIFS($D48:$BM48,$D$9:$BM$9,$H$2)</f>
        <v>0</v>
      </c>
      <c r="BP48" s="39">
        <f>BN48-BO48</f>
        <v>0</v>
      </c>
    </row>
    <row r="49" spans="2:68">
      <c r="B49" s="35" t="s">
        <v>85</v>
      </c>
      <c r="C49" s="35" t="s">
        <v>86</v>
      </c>
      <c r="D49" s="31"/>
      <c r="E49" s="31"/>
      <c r="F49" s="34"/>
      <c r="G49" s="34"/>
      <c r="H49" s="31"/>
      <c r="I49" s="31"/>
      <c r="J49" s="34"/>
      <c r="K49" s="34"/>
      <c r="L49" s="31"/>
      <c r="M49" s="31"/>
      <c r="N49" s="34"/>
      <c r="O49" s="34"/>
      <c r="P49" s="31"/>
      <c r="Q49" s="31"/>
      <c r="R49" s="34"/>
      <c r="S49" s="34"/>
      <c r="T49" s="31"/>
      <c r="U49" s="31"/>
      <c r="V49" s="34"/>
      <c r="W49" s="34"/>
      <c r="X49" s="31"/>
      <c r="Y49" s="31"/>
      <c r="Z49" s="34"/>
      <c r="AA49" s="34"/>
      <c r="AB49" s="31"/>
      <c r="AC49" s="31"/>
      <c r="AD49" s="34"/>
      <c r="AE49" s="34"/>
      <c r="AF49" s="31"/>
      <c r="AG49" s="31"/>
      <c r="AH49" s="34"/>
      <c r="AI49" s="34"/>
      <c r="AJ49" s="31"/>
      <c r="AK49" s="31"/>
      <c r="AL49" s="34"/>
      <c r="AM49" s="34"/>
      <c r="AN49" s="31"/>
      <c r="AO49" s="31"/>
      <c r="AP49" s="34"/>
      <c r="AQ49" s="34"/>
      <c r="AR49" s="31"/>
      <c r="AS49" s="31"/>
      <c r="AT49" s="34"/>
      <c r="AU49" s="34"/>
      <c r="AV49" s="31"/>
      <c r="AW49" s="31"/>
      <c r="AX49" s="34"/>
      <c r="AY49" s="34"/>
      <c r="AZ49" s="31"/>
      <c r="BA49" s="31"/>
      <c r="BB49" s="34"/>
      <c r="BC49" s="34"/>
      <c r="BD49" s="31"/>
      <c r="BE49" s="31"/>
      <c r="BF49" s="34"/>
      <c r="BG49" s="34"/>
      <c r="BH49" s="31"/>
      <c r="BI49" s="31"/>
      <c r="BJ49" s="34"/>
      <c r="BK49" s="34"/>
      <c r="BL49" s="31"/>
      <c r="BM49" s="31"/>
      <c r="BN49" s="39">
        <f>SUMIFS($D49:$BM49,$D$9:$BM$9,$H$1)</f>
        <v>0</v>
      </c>
      <c r="BO49" s="39">
        <f>SUMIFS($D49:$BM49,$D$9:$BM$9,$H$2)</f>
        <v>0</v>
      </c>
      <c r="BP49" s="39">
        <f>BN49-BO49</f>
        <v>0</v>
      </c>
    </row>
    <row r="50" spans="2:68">
      <c r="B50" s="35" t="s">
        <v>87</v>
      </c>
      <c r="C50" s="35" t="s">
        <v>88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9">
        <f>SUMIFS($D50:$BM50,$D$9:$BM$9,$H$1)</f>
        <v>0</v>
      </c>
      <c r="BO50" s="39">
        <f>SUMIFS($D50:$BM50,$D$9:$BM$9,$H$2)</f>
        <v>0</v>
      </c>
      <c r="BP50" s="39">
        <f>BN50-BO50</f>
        <v>0</v>
      </c>
    </row>
    <row r="51" spans="2:68">
      <c r="B51" s="35" t="s">
        <v>89</v>
      </c>
      <c r="C51" s="35" t="s">
        <v>88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9">
        <f>SUMIFS($D51:$BM51,$D$9:$BM$9,$H$1)</f>
        <v>0</v>
      </c>
      <c r="BO51" s="39">
        <f>SUMIFS($D51:$BM51,$D$9:$BM$9,$H$2)</f>
        <v>0</v>
      </c>
      <c r="BP51" s="39">
        <f>BN51-BO51</f>
        <v>0</v>
      </c>
    </row>
    <row r="52" spans="2:68">
      <c r="B52" s="35" t="s">
        <v>90</v>
      </c>
      <c r="C52" s="35" t="s">
        <v>91</v>
      </c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9">
        <f>SUMIFS($D52:$BM52,$D$9:$BM$9,$H$1)</f>
        <v>0</v>
      </c>
      <c r="BO52" s="39">
        <f>SUMIFS($D52:$BM52,$D$9:$BM$9,$H$2)</f>
        <v>0</v>
      </c>
      <c r="BP52" s="39">
        <f>BN52-BO52</f>
        <v>0</v>
      </c>
    </row>
    <row r="53" spans="2:68">
      <c r="B53" s="35" t="s">
        <v>92</v>
      </c>
      <c r="C53" s="35" t="s">
        <v>91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9">
        <f>SUMIFS($D53:$BM53,$D$9:$BM$9,$H$1)</f>
        <v>0</v>
      </c>
      <c r="BO53" s="39">
        <f>SUMIFS($D53:$BM53,$D$9:$BM$9,$H$2)</f>
        <v>0</v>
      </c>
      <c r="BP53" s="39">
        <f>BN53-BO53</f>
        <v>0</v>
      </c>
    </row>
    <row r="54" spans="2:68">
      <c r="B54" s="35" t="s">
        <v>93</v>
      </c>
      <c r="C54" s="35" t="s">
        <v>94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9">
        <f>SUMIFS($D54:$BM54,$D$9:$BM$9,$H$1)</f>
        <v>0</v>
      </c>
      <c r="BO54" s="39">
        <f>SUMIFS($D54:$BM54,$D$9:$BM$9,$H$2)</f>
        <v>0</v>
      </c>
      <c r="BP54" s="39">
        <f>BN54-BO54</f>
        <v>0</v>
      </c>
    </row>
    <row r="55" spans="2:68">
      <c r="B55" s="35" t="s">
        <v>95</v>
      </c>
      <c r="C55" s="35" t="s">
        <v>94</v>
      </c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9">
        <f>SUMIFS($D55:$BM55,$D$9:$BM$9,$H$1)</f>
        <v>0</v>
      </c>
      <c r="BO55" s="39">
        <f>SUMIFS($D55:$BM55,$D$9:$BM$9,$H$2)</f>
        <v>0</v>
      </c>
      <c r="BP55" s="39">
        <f>BN55-BO55</f>
        <v>0</v>
      </c>
    </row>
    <row r="56" spans="2:68">
      <c r="B56" s="35" t="s">
        <v>96</v>
      </c>
      <c r="C56" s="35" t="s">
        <v>97</v>
      </c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9">
        <f>SUMIFS($D56:$BM56,$D$9:$BM$9,$H$1)</f>
        <v>0</v>
      </c>
      <c r="BO56" s="39">
        <f>SUMIFS($D56:$BM56,$D$9:$BM$9,$H$2)</f>
        <v>0</v>
      </c>
      <c r="BP56" s="39">
        <f>BN56-BO56</f>
        <v>0</v>
      </c>
    </row>
    <row r="57" spans="2:68">
      <c r="B57" s="35" t="s">
        <v>98</v>
      </c>
      <c r="C57" s="35" t="s">
        <v>99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9">
        <f>SUMIFS($D57:$BM57,$D$9:$BM$9,$H$1)</f>
        <v>0</v>
      </c>
      <c r="BO57" s="39">
        <f>SUMIFS($D57:$BM57,$D$9:$BM$9,$H$2)</f>
        <v>0</v>
      </c>
      <c r="BP57" s="39">
        <f>BN57-BO57</f>
        <v>0</v>
      </c>
    </row>
  </sheetData>
  <sortState xmlns:xlrd2="http://schemas.microsoft.com/office/spreadsheetml/2017/richdata2" ref="B10:BP57">
    <sortCondition descending="1" ref="BP10:BP57"/>
  </sortState>
  <mergeCells count="93">
    <mergeCell ref="BL7:BM7"/>
    <mergeCell ref="AH7:AI7"/>
    <mergeCell ref="AJ7:AK7"/>
    <mergeCell ref="AL7:AM7"/>
    <mergeCell ref="AN7:AO7"/>
    <mergeCell ref="AP7:AQ7"/>
    <mergeCell ref="AR7:AS7"/>
    <mergeCell ref="AX7:AY7"/>
    <mergeCell ref="AZ7:BA7"/>
    <mergeCell ref="BB7:BC7"/>
    <mergeCell ref="BD7:BE7"/>
    <mergeCell ref="AT7:AU7"/>
    <mergeCell ref="AV7:AW7"/>
    <mergeCell ref="BH6:BI6"/>
    <mergeCell ref="BJ6:BK6"/>
    <mergeCell ref="BF7:BG7"/>
    <mergeCell ref="BH7:BI7"/>
    <mergeCell ref="BJ7:BK7"/>
    <mergeCell ref="AH6:AI6"/>
    <mergeCell ref="AJ6:AK6"/>
    <mergeCell ref="BL6:BM6"/>
    <mergeCell ref="D7:E7"/>
    <mergeCell ref="F7:G7"/>
    <mergeCell ref="H7:I7"/>
    <mergeCell ref="J7:K7"/>
    <mergeCell ref="L7:M7"/>
    <mergeCell ref="N7:O7"/>
    <mergeCell ref="P7:Q7"/>
    <mergeCell ref="R7:S7"/>
    <mergeCell ref="T7:U7"/>
    <mergeCell ref="AZ6:BA6"/>
    <mergeCell ref="BB6:BC6"/>
    <mergeCell ref="BD6:BE6"/>
    <mergeCell ref="BF6:BG6"/>
    <mergeCell ref="AL6:AM6"/>
    <mergeCell ref="D6:E6"/>
    <mergeCell ref="F6:G6"/>
    <mergeCell ref="H6:I6"/>
    <mergeCell ref="J6:K6"/>
    <mergeCell ref="L6:M6"/>
    <mergeCell ref="N6:O6"/>
    <mergeCell ref="P6:Q6"/>
    <mergeCell ref="R6:S6"/>
    <mergeCell ref="T6:U6"/>
    <mergeCell ref="V6:W6"/>
    <mergeCell ref="X6:Y6"/>
    <mergeCell ref="Z6:AA6"/>
    <mergeCell ref="AB6:AC6"/>
    <mergeCell ref="AD6:AE6"/>
    <mergeCell ref="AF6:AG6"/>
    <mergeCell ref="Z7:AA7"/>
    <mergeCell ref="AB7:AC7"/>
    <mergeCell ref="AD7:AE7"/>
    <mergeCell ref="AF7:AG7"/>
    <mergeCell ref="V7:W7"/>
    <mergeCell ref="X7:Y7"/>
    <mergeCell ref="AR6:AS6"/>
    <mergeCell ref="AT6:AU6"/>
    <mergeCell ref="AV6:AW6"/>
    <mergeCell ref="AX6:AY6"/>
    <mergeCell ref="AN6:AO6"/>
    <mergeCell ref="AP6:AQ6"/>
    <mergeCell ref="BL5:BM5"/>
    <mergeCell ref="AZ5:BA5"/>
    <mergeCell ref="BB5:BC5"/>
    <mergeCell ref="BD5:BE5"/>
    <mergeCell ref="BF5:BG5"/>
    <mergeCell ref="BH5:BI5"/>
    <mergeCell ref="BJ5:BK5"/>
    <mergeCell ref="AX5:AY5"/>
    <mergeCell ref="AB5:AC5"/>
    <mergeCell ref="AD5:AE5"/>
    <mergeCell ref="AF5:AG5"/>
    <mergeCell ref="AH5:AI5"/>
    <mergeCell ref="AJ5:AK5"/>
    <mergeCell ref="AL5:AM5"/>
    <mergeCell ref="AN5:AO5"/>
    <mergeCell ref="AP5:AQ5"/>
    <mergeCell ref="AR5:AS5"/>
    <mergeCell ref="AT5:AU5"/>
    <mergeCell ref="AV5:AW5"/>
    <mergeCell ref="Z5:AA5"/>
    <mergeCell ref="D5:E5"/>
    <mergeCell ref="F5:G5"/>
    <mergeCell ref="H5:I5"/>
    <mergeCell ref="J5:K5"/>
    <mergeCell ref="L5:M5"/>
    <mergeCell ref="N5:O5"/>
    <mergeCell ref="P5:Q5"/>
    <mergeCell ref="R5:S5"/>
    <mergeCell ref="T5:U5"/>
    <mergeCell ref="V5:W5"/>
    <mergeCell ref="X5:Y5"/>
  </mergeCells>
  <conditionalFormatting sqref="A9:XFD9">
    <cfRule type="cellIs" dxfId="35" priority="3" operator="equal">
      <formula>"J"</formula>
    </cfRule>
    <cfRule type="cellIs" dxfId="34" priority="4" operator="equal">
      <formula>"A"</formula>
    </cfRule>
  </conditionalFormatting>
  <conditionalFormatting sqref="B10:BP60">
    <cfRule type="expression" dxfId="33" priority="2">
      <formula>MOD(ROW(),2)</formula>
    </cfRule>
  </conditionalFormatting>
  <conditionalFormatting sqref="BP10:BP57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{4FA97FF4-1B05-4B3D-89A4-4680922927E5}</x14:id>
        </ext>
      </extLst>
    </cfRule>
  </conditionalFormatting>
  <dataValidations count="1">
    <dataValidation type="whole" allowBlank="1" showInputMessage="1" showErrorMessage="1" error="Attention: Entier compris entre 0 et 12 !" sqref="D10:BM49" xr:uid="{DC66F353-77E6-4DA4-AEBB-B557C42F23B8}">
      <formula1>0</formula1>
      <formula2>12</formula2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130" orientation="portrait" r:id="rId1"/>
  <headerFooter>
    <oddFooter>&amp;L&amp;D - &amp;T&amp;RMois de &amp;A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FA97FF4-1B05-4B3D-89A4-4680922927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BP10:BP57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4F131-B928-4119-B219-95F81C09CABB}">
  <sheetPr codeName="Feuil4"/>
  <dimension ref="B1:BQ57"/>
  <sheetViews>
    <sheetView showGridLines="0" showRowColHeaders="0" zoomScaleNormal="100" workbookViewId="0">
      <pane xSplit="3" ySplit="9" topLeftCell="D10" activePane="bottomRight" state="frozen"/>
      <selection pane="bottomRight"/>
      <selection pane="bottomLeft" activeCell="CC17" sqref="CC17"/>
      <selection pane="topRight" activeCell="CC17" sqref="CC17"/>
    </sheetView>
  </sheetViews>
  <sheetFormatPr defaultColWidth="11.42578125" defaultRowHeight="15"/>
  <cols>
    <col min="1" max="1" width="2.42578125" customWidth="1"/>
    <col min="2" max="2" width="32.140625" style="6" customWidth="1"/>
    <col min="3" max="3" width="22.42578125" style="6" customWidth="1"/>
    <col min="4" max="65" width="3.7109375" customWidth="1"/>
    <col min="66" max="66" width="4.42578125" bestFit="1" customWidth="1"/>
    <col min="67" max="67" width="4.28515625" customWidth="1"/>
    <col min="68" max="68" width="7.42578125" bestFit="1" customWidth="1"/>
    <col min="69" max="69" width="7.7109375" customWidth="1"/>
    <col min="70" max="105" width="3.7109375" customWidth="1"/>
  </cols>
  <sheetData>
    <row r="1" spans="2:69">
      <c r="H1" s="4" t="s">
        <v>0</v>
      </c>
      <c r="I1" t="s">
        <v>1</v>
      </c>
      <c r="N1" t="s">
        <v>2</v>
      </c>
      <c r="O1" t="s">
        <v>3</v>
      </c>
    </row>
    <row r="2" spans="2:69">
      <c r="H2" s="5" t="s">
        <v>4</v>
      </c>
      <c r="I2" t="s">
        <v>5</v>
      </c>
      <c r="N2" t="s">
        <v>6</v>
      </c>
      <c r="O2" t="s">
        <v>7</v>
      </c>
    </row>
    <row r="3" spans="2:69">
      <c r="N3" t="s">
        <v>8</v>
      </c>
      <c r="O3" t="s">
        <v>9</v>
      </c>
    </row>
    <row r="4" spans="2:69">
      <c r="B4" s="12"/>
      <c r="C4" s="12"/>
    </row>
    <row r="5" spans="2:69" s="2" customFormat="1">
      <c r="B5" s="13"/>
      <c r="C5" s="13"/>
      <c r="D5" s="45">
        <v>1</v>
      </c>
      <c r="E5" s="45"/>
      <c r="F5" s="45">
        <v>2</v>
      </c>
      <c r="G5" s="45"/>
      <c r="H5" s="45">
        <v>3</v>
      </c>
      <c r="I5" s="45"/>
      <c r="J5" s="45">
        <v>4</v>
      </c>
      <c r="K5" s="45"/>
      <c r="L5" s="45">
        <v>5</v>
      </c>
      <c r="M5" s="45"/>
      <c r="N5" s="45">
        <v>6</v>
      </c>
      <c r="O5" s="45"/>
      <c r="P5" s="45">
        <v>7</v>
      </c>
      <c r="Q5" s="45"/>
      <c r="R5" s="45">
        <v>8</v>
      </c>
      <c r="S5" s="45"/>
      <c r="T5" s="45">
        <v>9</v>
      </c>
      <c r="U5" s="45"/>
      <c r="V5" s="45">
        <v>10</v>
      </c>
      <c r="W5" s="45"/>
      <c r="X5" s="45">
        <v>11</v>
      </c>
      <c r="Y5" s="45"/>
      <c r="Z5" s="45">
        <v>12</v>
      </c>
      <c r="AA5" s="45"/>
      <c r="AB5" s="45">
        <v>13</v>
      </c>
      <c r="AC5" s="45"/>
      <c r="AD5" s="45">
        <v>14</v>
      </c>
      <c r="AE5" s="45"/>
      <c r="AF5" s="45">
        <v>15</v>
      </c>
      <c r="AG5" s="45"/>
      <c r="AH5" s="45">
        <v>16</v>
      </c>
      <c r="AI5" s="45"/>
      <c r="AJ5" s="45">
        <v>17</v>
      </c>
      <c r="AK5" s="45"/>
      <c r="AL5" s="45">
        <v>18</v>
      </c>
      <c r="AM5" s="45"/>
      <c r="AN5" s="45">
        <v>19</v>
      </c>
      <c r="AO5" s="45"/>
      <c r="AP5" s="45">
        <v>20</v>
      </c>
      <c r="AQ5" s="45"/>
      <c r="AR5" s="45">
        <v>21</v>
      </c>
      <c r="AS5" s="45"/>
      <c r="AT5" s="45">
        <v>22</v>
      </c>
      <c r="AU5" s="45"/>
      <c r="AV5" s="45">
        <v>23</v>
      </c>
      <c r="AW5" s="45"/>
      <c r="AX5" s="45">
        <v>24</v>
      </c>
      <c r="AY5" s="45"/>
      <c r="AZ5" s="45">
        <v>25</v>
      </c>
      <c r="BA5" s="45"/>
      <c r="BB5" s="45">
        <v>26</v>
      </c>
      <c r="BC5" s="45"/>
      <c r="BD5" s="45">
        <v>27</v>
      </c>
      <c r="BE5" s="45"/>
      <c r="BF5" s="45">
        <v>28</v>
      </c>
      <c r="BG5" s="45"/>
      <c r="BH5" s="45">
        <v>29</v>
      </c>
      <c r="BI5" s="45"/>
      <c r="BJ5" s="45">
        <v>30</v>
      </c>
      <c r="BK5" s="45"/>
      <c r="BL5" s="45">
        <v>31</v>
      </c>
      <c r="BM5" s="45"/>
      <c r="BQ5" s="6" t="s">
        <v>10</v>
      </c>
    </row>
    <row r="6" spans="2:69">
      <c r="D6" s="49" t="str">
        <f t="shared" ref="D6:BL6" si="0">TEXT(WEEKDAY(DATE($BQ$6,2,D$5),1),"jjj")</f>
        <v>sam.</v>
      </c>
      <c r="E6" s="49"/>
      <c r="F6" s="49" t="str">
        <f t="shared" si="0"/>
        <v>dim.</v>
      </c>
      <c r="G6" s="49"/>
      <c r="H6" s="49" t="str">
        <f t="shared" si="0"/>
        <v>lun.</v>
      </c>
      <c r="I6" s="49"/>
      <c r="J6" s="49" t="str">
        <f t="shared" si="0"/>
        <v>mar.</v>
      </c>
      <c r="K6" s="49"/>
      <c r="L6" s="49" t="str">
        <f t="shared" si="0"/>
        <v>mer.</v>
      </c>
      <c r="M6" s="49"/>
      <c r="N6" s="49" t="str">
        <f t="shared" si="0"/>
        <v>jeu.</v>
      </c>
      <c r="O6" s="49"/>
      <c r="P6" s="49" t="str">
        <f t="shared" si="0"/>
        <v>ven.</v>
      </c>
      <c r="Q6" s="49"/>
      <c r="R6" s="49" t="str">
        <f t="shared" si="0"/>
        <v>sam.</v>
      </c>
      <c r="S6" s="49"/>
      <c r="T6" s="49" t="str">
        <f t="shared" si="0"/>
        <v>dim.</v>
      </c>
      <c r="U6" s="49"/>
      <c r="V6" s="49" t="str">
        <f t="shared" si="0"/>
        <v>lun.</v>
      </c>
      <c r="W6" s="49"/>
      <c r="X6" s="49" t="str">
        <f t="shared" si="0"/>
        <v>mar.</v>
      </c>
      <c r="Y6" s="49"/>
      <c r="Z6" s="49" t="str">
        <f t="shared" si="0"/>
        <v>mer.</v>
      </c>
      <c r="AA6" s="49"/>
      <c r="AB6" s="49" t="str">
        <f t="shared" si="0"/>
        <v>jeu.</v>
      </c>
      <c r="AC6" s="49"/>
      <c r="AD6" s="49" t="str">
        <f t="shared" si="0"/>
        <v>ven.</v>
      </c>
      <c r="AE6" s="49"/>
      <c r="AF6" s="49" t="str">
        <f t="shared" si="0"/>
        <v>sam.</v>
      </c>
      <c r="AG6" s="49"/>
      <c r="AH6" s="49" t="str">
        <f t="shared" si="0"/>
        <v>dim.</v>
      </c>
      <c r="AI6" s="49"/>
      <c r="AJ6" s="49" t="str">
        <f t="shared" si="0"/>
        <v>lun.</v>
      </c>
      <c r="AK6" s="49"/>
      <c r="AL6" s="49" t="str">
        <f t="shared" si="0"/>
        <v>mar.</v>
      </c>
      <c r="AM6" s="49"/>
      <c r="AN6" s="49" t="str">
        <f t="shared" si="0"/>
        <v>mer.</v>
      </c>
      <c r="AO6" s="49"/>
      <c r="AP6" s="49" t="str">
        <f t="shared" si="0"/>
        <v>jeu.</v>
      </c>
      <c r="AQ6" s="49"/>
      <c r="AR6" s="49" t="str">
        <f t="shared" si="0"/>
        <v>ven.</v>
      </c>
      <c r="AS6" s="49"/>
      <c r="AT6" s="49" t="str">
        <f t="shared" si="0"/>
        <v>sam.</v>
      </c>
      <c r="AU6" s="49"/>
      <c r="AV6" s="49" t="str">
        <f t="shared" si="0"/>
        <v>dim.</v>
      </c>
      <c r="AW6" s="49"/>
      <c r="AX6" s="49" t="str">
        <f t="shared" si="0"/>
        <v>lun.</v>
      </c>
      <c r="AY6" s="49"/>
      <c r="AZ6" s="49" t="str">
        <f t="shared" si="0"/>
        <v>mar.</v>
      </c>
      <c r="BA6" s="49"/>
      <c r="BB6" s="49" t="str">
        <f t="shared" si="0"/>
        <v>mer.</v>
      </c>
      <c r="BC6" s="49"/>
      <c r="BD6" s="49" t="str">
        <f t="shared" si="0"/>
        <v>jeu.</v>
      </c>
      <c r="BE6" s="49"/>
      <c r="BF6" s="49" t="str">
        <f t="shared" si="0"/>
        <v>ven.</v>
      </c>
      <c r="BG6" s="49"/>
      <c r="BH6" s="49" t="str">
        <f t="shared" si="0"/>
        <v>sam.</v>
      </c>
      <c r="BI6" s="49"/>
      <c r="BJ6" s="49"/>
      <c r="BK6" s="49"/>
      <c r="BL6" s="49"/>
      <c r="BM6" s="49"/>
      <c r="BN6" s="14" t="str">
        <f>Janvier!BN6</f>
        <v>LIAGE 3</v>
      </c>
      <c r="BO6" s="14"/>
      <c r="BP6" s="14"/>
      <c r="BQ6" s="7">
        <f>Janvier!BQ6</f>
        <v>2020</v>
      </c>
    </row>
    <row r="7" spans="2:69">
      <c r="B7" s="30" t="s">
        <v>100</v>
      </c>
      <c r="C7" s="1"/>
      <c r="D7" s="47">
        <v>1</v>
      </c>
      <c r="E7" s="48"/>
      <c r="F7" s="47">
        <v>2</v>
      </c>
      <c r="G7" s="48"/>
      <c r="H7" s="47">
        <v>3</v>
      </c>
      <c r="I7" s="48"/>
      <c r="J7" s="47">
        <v>4</v>
      </c>
      <c r="K7" s="48"/>
      <c r="L7" s="47">
        <v>5</v>
      </c>
      <c r="M7" s="48"/>
      <c r="N7" s="47">
        <v>6</v>
      </c>
      <c r="O7" s="48"/>
      <c r="P7" s="47">
        <v>7</v>
      </c>
      <c r="Q7" s="48"/>
      <c r="R7" s="47">
        <v>8</v>
      </c>
      <c r="S7" s="48"/>
      <c r="T7" s="47">
        <v>9</v>
      </c>
      <c r="U7" s="48"/>
      <c r="V7" s="47">
        <v>10</v>
      </c>
      <c r="W7" s="48"/>
      <c r="X7" s="47">
        <v>11</v>
      </c>
      <c r="Y7" s="48"/>
      <c r="Z7" s="47">
        <v>12</v>
      </c>
      <c r="AA7" s="48"/>
      <c r="AB7" s="47">
        <v>13</v>
      </c>
      <c r="AC7" s="48"/>
      <c r="AD7" s="47">
        <v>14</v>
      </c>
      <c r="AE7" s="48"/>
      <c r="AF7" s="47">
        <v>15</v>
      </c>
      <c r="AG7" s="48"/>
      <c r="AH7" s="47">
        <v>16</v>
      </c>
      <c r="AI7" s="48"/>
      <c r="AJ7" s="47">
        <v>17</v>
      </c>
      <c r="AK7" s="48"/>
      <c r="AL7" s="47">
        <v>18</v>
      </c>
      <c r="AM7" s="48"/>
      <c r="AN7" s="47">
        <v>19</v>
      </c>
      <c r="AO7" s="48"/>
      <c r="AP7" s="47">
        <v>20</v>
      </c>
      <c r="AQ7" s="48"/>
      <c r="AR7" s="47">
        <v>21</v>
      </c>
      <c r="AS7" s="48"/>
      <c r="AT7" s="47">
        <v>22</v>
      </c>
      <c r="AU7" s="48"/>
      <c r="AV7" s="47">
        <v>23</v>
      </c>
      <c r="AW7" s="48"/>
      <c r="AX7" s="47">
        <v>24</v>
      </c>
      <c r="AY7" s="48"/>
      <c r="AZ7" s="47">
        <v>25</v>
      </c>
      <c r="BA7" s="48"/>
      <c r="BB7" s="47">
        <v>26</v>
      </c>
      <c r="BC7" s="48"/>
      <c r="BD7" s="47">
        <v>27</v>
      </c>
      <c r="BE7" s="48"/>
      <c r="BF7" s="47">
        <v>28</v>
      </c>
      <c r="BG7" s="48"/>
      <c r="BH7" s="47">
        <v>29</v>
      </c>
      <c r="BI7" s="48"/>
      <c r="BJ7" s="47"/>
      <c r="BK7" s="48"/>
      <c r="BL7" s="47"/>
      <c r="BM7" s="48"/>
    </row>
    <row r="8" spans="2:69" s="11" customFormat="1">
      <c r="B8" s="8"/>
      <c r="C8" s="8" t="s">
        <v>101</v>
      </c>
      <c r="D8" s="16"/>
      <c r="E8" s="17"/>
      <c r="F8" s="18"/>
      <c r="G8" s="17"/>
      <c r="H8" s="19"/>
      <c r="I8" s="20"/>
      <c r="J8" s="19"/>
      <c r="K8" s="20"/>
      <c r="L8" s="19"/>
      <c r="M8" s="20"/>
      <c r="N8" s="19"/>
      <c r="O8" s="20"/>
      <c r="P8" s="19"/>
      <c r="Q8" s="20"/>
      <c r="R8" s="19"/>
      <c r="S8" s="20"/>
      <c r="T8" s="19"/>
      <c r="U8" s="20"/>
      <c r="V8" s="19"/>
      <c r="W8" s="20"/>
      <c r="X8" s="19"/>
      <c r="Y8" s="20"/>
      <c r="Z8" s="19"/>
      <c r="AA8" s="20"/>
      <c r="AB8" s="19"/>
      <c r="AC8" s="20"/>
      <c r="AD8" s="19"/>
      <c r="AE8" s="20"/>
      <c r="AF8" s="19"/>
      <c r="AG8" s="20"/>
      <c r="AH8" s="19"/>
      <c r="AI8" s="20"/>
      <c r="AJ8" s="19"/>
      <c r="AK8" s="20"/>
      <c r="AL8" s="19"/>
      <c r="AM8" s="20"/>
      <c r="AN8" s="19"/>
      <c r="AO8" s="20"/>
      <c r="AP8" s="19"/>
      <c r="AQ8" s="20"/>
      <c r="AR8" s="19"/>
      <c r="AS8" s="20"/>
      <c r="AT8" s="19"/>
      <c r="AU8" s="20"/>
      <c r="AV8" s="19"/>
      <c r="AW8" s="20"/>
      <c r="AX8" s="19"/>
      <c r="AY8" s="20"/>
      <c r="AZ8" s="19"/>
      <c r="BA8" s="20"/>
      <c r="BB8" s="19"/>
      <c r="BC8" s="20"/>
      <c r="BD8" s="19"/>
      <c r="BE8" s="20"/>
      <c r="BF8" s="19"/>
      <c r="BG8" s="20"/>
      <c r="BH8" s="19"/>
      <c r="BI8" s="20"/>
      <c r="BJ8" s="19"/>
      <c r="BK8" s="20"/>
      <c r="BL8" s="19"/>
      <c r="BM8" s="21"/>
      <c r="BN8">
        <f>SUM(BN10:BN49)</f>
        <v>71</v>
      </c>
      <c r="BO8">
        <f>SUM(BO10:BO49)</f>
        <v>27</v>
      </c>
      <c r="BP8">
        <f>SUM(BP10:BP49)</f>
        <v>44</v>
      </c>
    </row>
    <row r="9" spans="2:69" s="3" customFormat="1" ht="12" customHeight="1">
      <c r="B9" s="23" t="s">
        <v>14</v>
      </c>
      <c r="C9" s="23" t="s">
        <v>15</v>
      </c>
      <c r="D9" s="24" t="str">
        <f>$H$1</f>
        <v>A</v>
      </c>
      <c r="E9" s="25" t="str">
        <f>$H$2</f>
        <v>J</v>
      </c>
      <c r="F9" s="26" t="str">
        <f>$H$1</f>
        <v>A</v>
      </c>
      <c r="G9" s="27" t="str">
        <f>$H$2</f>
        <v>J</v>
      </c>
      <c r="H9" s="28" t="str">
        <f>$H$1</f>
        <v>A</v>
      </c>
      <c r="I9" s="25" t="str">
        <f>$H$2</f>
        <v>J</v>
      </c>
      <c r="J9" s="26" t="str">
        <f>$H$1</f>
        <v>A</v>
      </c>
      <c r="K9" s="27" t="str">
        <f>$H$2</f>
        <v>J</v>
      </c>
      <c r="L9" s="28" t="str">
        <f>$H$1</f>
        <v>A</v>
      </c>
      <c r="M9" s="25" t="str">
        <f>$H$2</f>
        <v>J</v>
      </c>
      <c r="N9" s="26" t="str">
        <f>$H$1</f>
        <v>A</v>
      </c>
      <c r="O9" s="27" t="str">
        <f>$H$2</f>
        <v>J</v>
      </c>
      <c r="P9" s="28" t="str">
        <f>$H$1</f>
        <v>A</v>
      </c>
      <c r="Q9" s="25" t="str">
        <f>$H$2</f>
        <v>J</v>
      </c>
      <c r="R9" s="26" t="str">
        <f>$H$1</f>
        <v>A</v>
      </c>
      <c r="S9" s="27" t="str">
        <f>$H$2</f>
        <v>J</v>
      </c>
      <c r="T9" s="28" t="str">
        <f>$H$1</f>
        <v>A</v>
      </c>
      <c r="U9" s="25" t="str">
        <f>$H$2</f>
        <v>J</v>
      </c>
      <c r="V9" s="26" t="str">
        <f>$H$1</f>
        <v>A</v>
      </c>
      <c r="W9" s="27" t="str">
        <f>$H$2</f>
        <v>J</v>
      </c>
      <c r="X9" s="28" t="str">
        <f>$H$1</f>
        <v>A</v>
      </c>
      <c r="Y9" s="25" t="str">
        <f>$H$2</f>
        <v>J</v>
      </c>
      <c r="Z9" s="26" t="str">
        <f>$H$1</f>
        <v>A</v>
      </c>
      <c r="AA9" s="27" t="str">
        <f>$H$2</f>
        <v>J</v>
      </c>
      <c r="AB9" s="28" t="str">
        <f>$H$1</f>
        <v>A</v>
      </c>
      <c r="AC9" s="25" t="str">
        <f>$H$2</f>
        <v>J</v>
      </c>
      <c r="AD9" s="26" t="str">
        <f>$H$1</f>
        <v>A</v>
      </c>
      <c r="AE9" s="27" t="str">
        <f>$H$2</f>
        <v>J</v>
      </c>
      <c r="AF9" s="28" t="str">
        <f>$H$1</f>
        <v>A</v>
      </c>
      <c r="AG9" s="25" t="str">
        <f>$H$2</f>
        <v>J</v>
      </c>
      <c r="AH9" s="26" t="str">
        <f>$H$1</f>
        <v>A</v>
      </c>
      <c r="AI9" s="27" t="str">
        <f>$H$2</f>
        <v>J</v>
      </c>
      <c r="AJ9" s="28" t="str">
        <f>$H$1</f>
        <v>A</v>
      </c>
      <c r="AK9" s="25" t="str">
        <f>$H$2</f>
        <v>J</v>
      </c>
      <c r="AL9" s="26" t="str">
        <f>$H$1</f>
        <v>A</v>
      </c>
      <c r="AM9" s="27" t="str">
        <f>$H$2</f>
        <v>J</v>
      </c>
      <c r="AN9" s="28" t="str">
        <f>$H$1</f>
        <v>A</v>
      </c>
      <c r="AO9" s="25" t="str">
        <f>$H$2</f>
        <v>J</v>
      </c>
      <c r="AP9" s="26" t="str">
        <f>$H$1</f>
        <v>A</v>
      </c>
      <c r="AQ9" s="27" t="str">
        <f>$H$2</f>
        <v>J</v>
      </c>
      <c r="AR9" s="28" t="str">
        <f>$H$1</f>
        <v>A</v>
      </c>
      <c r="AS9" s="25" t="str">
        <f>$H$2</f>
        <v>J</v>
      </c>
      <c r="AT9" s="26" t="str">
        <f>$H$1</f>
        <v>A</v>
      </c>
      <c r="AU9" s="27" t="str">
        <f>$H$2</f>
        <v>J</v>
      </c>
      <c r="AV9" s="28" t="str">
        <f>$H$1</f>
        <v>A</v>
      </c>
      <c r="AW9" s="25" t="str">
        <f>$H$2</f>
        <v>J</v>
      </c>
      <c r="AX9" s="26" t="str">
        <f>$H$1</f>
        <v>A</v>
      </c>
      <c r="AY9" s="27" t="str">
        <f>$H$2</f>
        <v>J</v>
      </c>
      <c r="AZ9" s="28" t="str">
        <f>$H$1</f>
        <v>A</v>
      </c>
      <c r="BA9" s="25" t="str">
        <f>$H$2</f>
        <v>J</v>
      </c>
      <c r="BB9" s="26" t="str">
        <f>$H$1</f>
        <v>A</v>
      </c>
      <c r="BC9" s="27" t="str">
        <f>$H$2</f>
        <v>J</v>
      </c>
      <c r="BD9" s="28" t="str">
        <f>$H$1</f>
        <v>A</v>
      </c>
      <c r="BE9" s="25" t="str">
        <f>$H$2</f>
        <v>J</v>
      </c>
      <c r="BF9" s="26" t="str">
        <f>$H$1</f>
        <v>A</v>
      </c>
      <c r="BG9" s="27" t="str">
        <f>$H$2</f>
        <v>J</v>
      </c>
      <c r="BH9" s="28" t="str">
        <f>$H$1</f>
        <v>A</v>
      </c>
      <c r="BI9" s="25" t="str">
        <f>$H$2</f>
        <v>J</v>
      </c>
      <c r="BJ9" s="26" t="str">
        <f>$H$1</f>
        <v>A</v>
      </c>
      <c r="BK9" s="27" t="str">
        <f>$H$2</f>
        <v>J</v>
      </c>
      <c r="BL9" s="28" t="str">
        <f>$H$1</f>
        <v>A</v>
      </c>
      <c r="BM9" s="24" t="str">
        <f>$H$2</f>
        <v>J</v>
      </c>
      <c r="BN9" s="29" t="s">
        <v>2</v>
      </c>
      <c r="BO9" s="29" t="s">
        <v>6</v>
      </c>
      <c r="BP9" s="29" t="s">
        <v>8</v>
      </c>
    </row>
    <row r="10" spans="2:69">
      <c r="B10" s="6" t="s">
        <v>16</v>
      </c>
      <c r="C10" s="6" t="s">
        <v>17</v>
      </c>
      <c r="D10" s="10"/>
      <c r="E10" s="15"/>
      <c r="F10" s="9"/>
      <c r="G10" s="9"/>
      <c r="H10" s="15"/>
      <c r="I10" s="15"/>
      <c r="J10" s="9"/>
      <c r="K10" s="9"/>
      <c r="L10" s="15"/>
      <c r="M10" s="15"/>
      <c r="N10" s="9"/>
      <c r="O10" s="9"/>
      <c r="P10" s="15"/>
      <c r="Q10" s="15"/>
      <c r="R10" s="9"/>
      <c r="S10" s="9"/>
      <c r="T10" s="15"/>
      <c r="U10" s="15"/>
      <c r="V10" s="9"/>
      <c r="W10" s="9"/>
      <c r="X10" s="15"/>
      <c r="Y10" s="15"/>
      <c r="Z10" s="9"/>
      <c r="AA10" s="9"/>
      <c r="AB10" s="15"/>
      <c r="AC10" s="15"/>
      <c r="AD10" s="9"/>
      <c r="AE10" s="9"/>
      <c r="AF10" s="15"/>
      <c r="AG10" s="15"/>
      <c r="AH10" s="9"/>
      <c r="AI10" s="9"/>
      <c r="AJ10" s="15"/>
      <c r="AK10" s="15"/>
      <c r="AL10" s="9"/>
      <c r="AM10" s="9"/>
      <c r="AN10" s="15">
        <v>7</v>
      </c>
      <c r="AO10" s="15"/>
      <c r="AP10" s="9">
        <v>5</v>
      </c>
      <c r="AQ10" s="9">
        <v>1</v>
      </c>
      <c r="AR10" s="15"/>
      <c r="AS10" s="15"/>
      <c r="AT10" s="9"/>
      <c r="AU10" s="9"/>
      <c r="AV10" s="15"/>
      <c r="AW10" s="15"/>
      <c r="AX10" s="9">
        <v>8</v>
      </c>
      <c r="AY10" s="9"/>
      <c r="AZ10" s="15"/>
      <c r="BA10" s="15"/>
      <c r="BB10" s="15"/>
      <c r="BC10" s="9"/>
      <c r="BD10" s="15"/>
      <c r="BE10" s="15"/>
      <c r="BF10" s="15"/>
      <c r="BG10" s="9"/>
      <c r="BH10" s="15"/>
      <c r="BI10" s="15"/>
      <c r="BJ10" s="9"/>
      <c r="BK10" s="9"/>
      <c r="BL10" s="15"/>
      <c r="BM10" s="10"/>
      <c r="BN10">
        <f>SUMIFS($D10:$BM10,$D$9:$BM$9,$H$1)</f>
        <v>20</v>
      </c>
      <c r="BO10">
        <f>SUMIFS($D10:$BM10,$D$9:$BM$9,$H$2)</f>
        <v>1</v>
      </c>
      <c r="BP10">
        <f>BN10-BO10</f>
        <v>19</v>
      </c>
    </row>
    <row r="11" spans="2:69">
      <c r="B11" s="6" t="s">
        <v>18</v>
      </c>
      <c r="C11" s="6" t="s">
        <v>19</v>
      </c>
      <c r="D11" s="10">
        <v>8</v>
      </c>
      <c r="E11" s="15">
        <v>8</v>
      </c>
      <c r="F11" s="9">
        <v>7</v>
      </c>
      <c r="G11" s="9">
        <v>1</v>
      </c>
      <c r="H11" s="15">
        <v>10</v>
      </c>
      <c r="I11" s="15"/>
      <c r="J11" s="15"/>
      <c r="K11" s="9"/>
      <c r="L11" s="15"/>
      <c r="M11" s="15"/>
      <c r="N11" s="9"/>
      <c r="O11" s="9"/>
      <c r="P11" s="15"/>
      <c r="Q11" s="15"/>
      <c r="R11" s="15"/>
      <c r="S11" s="9"/>
      <c r="T11" s="15"/>
      <c r="U11" s="15"/>
      <c r="V11" s="9"/>
      <c r="W11" s="9"/>
      <c r="X11" s="15"/>
      <c r="Y11" s="15"/>
      <c r="Z11" s="9"/>
      <c r="AA11" s="9"/>
      <c r="AB11" s="15"/>
      <c r="AC11" s="15"/>
      <c r="AD11" s="9"/>
      <c r="AE11" s="9"/>
      <c r="AF11" s="15"/>
      <c r="AG11" s="15"/>
      <c r="AH11" s="9"/>
      <c r="AI11" s="9"/>
      <c r="AJ11" s="15"/>
      <c r="AK11" s="15"/>
      <c r="AL11" s="9"/>
      <c r="AM11" s="9"/>
      <c r="AN11" s="15"/>
      <c r="AO11" s="15"/>
      <c r="AP11" s="9"/>
      <c r="AQ11" s="9"/>
      <c r="AR11" s="15"/>
      <c r="AS11" s="15"/>
      <c r="AT11" s="9"/>
      <c r="AU11" s="9"/>
      <c r="AV11" s="15"/>
      <c r="AW11" s="15"/>
      <c r="AX11" s="9"/>
      <c r="AY11" s="9"/>
      <c r="AZ11" s="15"/>
      <c r="BA11" s="15"/>
      <c r="BB11" s="9"/>
      <c r="BC11" s="9"/>
      <c r="BD11" s="15"/>
      <c r="BE11" s="15"/>
      <c r="BF11" s="9"/>
      <c r="BG11" s="9"/>
      <c r="BH11" s="15"/>
      <c r="BI11" s="15"/>
      <c r="BJ11" s="9"/>
      <c r="BK11" s="9"/>
      <c r="BL11" s="15"/>
      <c r="BM11" s="10"/>
      <c r="BN11">
        <f>SUMIFS($D11:$BM11,$D$9:$BM$9,$H$1)</f>
        <v>25</v>
      </c>
      <c r="BO11">
        <f>SUMIFS($D11:$BM11,$D$9:$BM$9,$H$2)</f>
        <v>9</v>
      </c>
      <c r="BP11">
        <f>BN11-BO11</f>
        <v>16</v>
      </c>
    </row>
    <row r="12" spans="2:69">
      <c r="B12" s="6" t="s">
        <v>20</v>
      </c>
      <c r="C12" s="6" t="s">
        <v>21</v>
      </c>
      <c r="D12" s="10">
        <v>8</v>
      </c>
      <c r="E12" s="15">
        <v>2</v>
      </c>
      <c r="F12" s="9"/>
      <c r="G12" s="9"/>
      <c r="H12" s="15"/>
      <c r="I12" s="15">
        <v>6</v>
      </c>
      <c r="J12" s="9">
        <v>3</v>
      </c>
      <c r="K12" s="9"/>
      <c r="L12" s="15"/>
      <c r="M12" s="15"/>
      <c r="N12" s="9"/>
      <c r="O12" s="9"/>
      <c r="P12" s="15"/>
      <c r="Q12" s="15"/>
      <c r="R12" s="9"/>
      <c r="S12" s="9"/>
      <c r="T12" s="15">
        <v>7</v>
      </c>
      <c r="U12" s="15">
        <v>1</v>
      </c>
      <c r="V12" s="9"/>
      <c r="W12" s="9"/>
      <c r="X12" s="15">
        <v>8</v>
      </c>
      <c r="Y12" s="15">
        <v>8</v>
      </c>
      <c r="Z12" s="9"/>
      <c r="AA12" s="9"/>
      <c r="AB12" s="15"/>
      <c r="AC12" s="15"/>
      <c r="AD12" s="9"/>
      <c r="AE12" s="9"/>
      <c r="AF12" s="15"/>
      <c r="AG12" s="15"/>
      <c r="AH12" s="9"/>
      <c r="AI12" s="9"/>
      <c r="AJ12" s="15"/>
      <c r="AK12" s="15"/>
      <c r="AL12" s="9"/>
      <c r="AM12" s="9"/>
      <c r="AN12" s="15"/>
      <c r="AO12" s="15"/>
      <c r="AP12" s="9"/>
      <c r="AQ12" s="9"/>
      <c r="AR12" s="15"/>
      <c r="AS12" s="15"/>
      <c r="AT12" s="9"/>
      <c r="AU12" s="9"/>
      <c r="AV12" s="15"/>
      <c r="AW12" s="15"/>
      <c r="AX12" s="9"/>
      <c r="AY12" s="9"/>
      <c r="AZ12" s="15"/>
      <c r="BA12" s="15"/>
      <c r="BB12" s="9"/>
      <c r="BC12" s="9"/>
      <c r="BD12" s="15"/>
      <c r="BE12" s="15"/>
      <c r="BF12" s="9"/>
      <c r="BG12" s="9"/>
      <c r="BH12" s="15"/>
      <c r="BI12" s="15"/>
      <c r="BJ12" s="9"/>
      <c r="BK12" s="9"/>
      <c r="BL12" s="15"/>
      <c r="BM12" s="10"/>
      <c r="BN12">
        <f>SUMIFS($D12:$BM12,$D$9:$BM$9,$H$1)</f>
        <v>26</v>
      </c>
      <c r="BO12">
        <f>SUMIFS($D12:$BM12,$D$9:$BM$9,$H$2)</f>
        <v>17</v>
      </c>
      <c r="BP12">
        <f>BN12-BO12</f>
        <v>9</v>
      </c>
    </row>
    <row r="13" spans="2:69">
      <c r="B13" s="6" t="s">
        <v>22</v>
      </c>
      <c r="C13" s="6" t="s">
        <v>23</v>
      </c>
      <c r="D13" s="10"/>
      <c r="E13" s="10"/>
      <c r="H13" s="10"/>
      <c r="I13" s="10"/>
      <c r="L13" s="10"/>
      <c r="M13" s="10"/>
      <c r="P13" s="10"/>
      <c r="Q13" s="10"/>
      <c r="T13" s="10"/>
      <c r="U13" s="10"/>
      <c r="X13" s="10"/>
      <c r="Y13" s="10"/>
      <c r="AB13" s="10"/>
      <c r="AC13" s="10"/>
      <c r="AF13" s="10"/>
      <c r="AG13" s="10"/>
      <c r="AJ13" s="10"/>
      <c r="AK13" s="10"/>
      <c r="AN13" s="10"/>
      <c r="AO13" s="10"/>
      <c r="AR13" s="10"/>
      <c r="AS13" s="10"/>
      <c r="AV13" s="10"/>
      <c r="AW13" s="10"/>
      <c r="AZ13" s="10"/>
      <c r="BA13" s="10"/>
      <c r="BD13" s="10"/>
      <c r="BE13" s="10"/>
      <c r="BH13" s="10"/>
      <c r="BI13" s="10"/>
      <c r="BL13" s="10"/>
      <c r="BM13" s="10"/>
      <c r="BN13">
        <f>SUMIFS($D13:$BM13,$D$9:$BM$9,$H$1)</f>
        <v>0</v>
      </c>
      <c r="BO13">
        <f>SUMIFS($D13:$BM13,$D$9:$BM$9,$H$2)</f>
        <v>0</v>
      </c>
      <c r="BP13">
        <f>BN13-BO13</f>
        <v>0</v>
      </c>
    </row>
    <row r="14" spans="2:69">
      <c r="B14" s="6" t="s">
        <v>24</v>
      </c>
      <c r="C14" s="6" t="s">
        <v>25</v>
      </c>
      <c r="D14" s="15"/>
      <c r="E14" s="15"/>
      <c r="F14" s="9"/>
      <c r="G14" s="9"/>
      <c r="H14" s="15"/>
      <c r="I14" s="15"/>
      <c r="J14" s="9"/>
      <c r="K14" s="9"/>
      <c r="L14" s="15"/>
      <c r="M14" s="15"/>
      <c r="N14" s="9"/>
      <c r="O14" s="9"/>
      <c r="P14" s="15"/>
      <c r="Q14" s="15"/>
      <c r="R14" s="9"/>
      <c r="S14" s="9"/>
      <c r="T14" s="15"/>
      <c r="U14" s="15"/>
      <c r="V14" s="9"/>
      <c r="W14" s="9"/>
      <c r="X14" s="15"/>
      <c r="Y14" s="15"/>
      <c r="Z14" s="9"/>
      <c r="AA14" s="9"/>
      <c r="AB14" s="15"/>
      <c r="AC14" s="15"/>
      <c r="AD14" s="9"/>
      <c r="AE14" s="9"/>
      <c r="AF14" s="15"/>
      <c r="AG14" s="15"/>
      <c r="AH14" s="9"/>
      <c r="AI14" s="9"/>
      <c r="AJ14" s="15"/>
      <c r="AK14" s="15"/>
      <c r="AL14" s="9"/>
      <c r="AM14" s="9"/>
      <c r="AN14" s="15"/>
      <c r="AO14" s="15"/>
      <c r="AP14" s="9"/>
      <c r="AQ14" s="9"/>
      <c r="AR14" s="15"/>
      <c r="AS14" s="15"/>
      <c r="AT14" s="9"/>
      <c r="AU14" s="9"/>
      <c r="AV14" s="15"/>
      <c r="AW14" s="15"/>
      <c r="AX14" s="9"/>
      <c r="AY14" s="9"/>
      <c r="AZ14" s="15"/>
      <c r="BA14" s="15"/>
      <c r="BB14" s="9"/>
      <c r="BC14" s="9"/>
      <c r="BD14" s="15"/>
      <c r="BE14" s="15"/>
      <c r="BF14" s="9"/>
      <c r="BG14" s="9"/>
      <c r="BH14" s="15"/>
      <c r="BI14" s="15"/>
      <c r="BJ14" s="9"/>
      <c r="BK14" s="9"/>
      <c r="BL14" s="15"/>
      <c r="BM14" s="15"/>
      <c r="BN14">
        <f>SUMIFS($D14:$BM14,$D$9:$BM$9,$H$1)</f>
        <v>0</v>
      </c>
      <c r="BO14">
        <f>SUMIFS($D14:$BM14,$D$9:$BM$9,$H$2)</f>
        <v>0</v>
      </c>
      <c r="BP14">
        <f>BN14-BO14</f>
        <v>0</v>
      </c>
    </row>
    <row r="15" spans="2:69">
      <c r="B15" s="6" t="s">
        <v>26</v>
      </c>
      <c r="C15" s="6" t="s">
        <v>27</v>
      </c>
      <c r="D15" s="10"/>
      <c r="E15" s="15"/>
      <c r="F15" s="9"/>
      <c r="G15" s="9"/>
      <c r="H15" s="15"/>
      <c r="I15" s="15"/>
      <c r="J15" s="9"/>
      <c r="K15" s="9"/>
      <c r="L15" s="15"/>
      <c r="M15" s="15"/>
      <c r="N15" s="9"/>
      <c r="O15" s="9"/>
      <c r="P15" s="15"/>
      <c r="Q15" s="15"/>
      <c r="R15" s="9"/>
      <c r="S15" s="9"/>
      <c r="T15" s="15"/>
      <c r="U15" s="15"/>
      <c r="V15" s="9"/>
      <c r="W15" s="9"/>
      <c r="X15" s="15"/>
      <c r="Y15" s="15"/>
      <c r="Z15" s="9"/>
      <c r="AA15" s="9"/>
      <c r="AB15" s="15"/>
      <c r="AC15" s="15"/>
      <c r="AD15" s="9"/>
      <c r="AE15" s="9"/>
      <c r="AF15" s="15"/>
      <c r="AG15" s="15"/>
      <c r="AH15" s="9"/>
      <c r="AI15" s="9"/>
      <c r="AJ15" s="15"/>
      <c r="AK15" s="15"/>
      <c r="AL15" s="9"/>
      <c r="AM15" s="9"/>
      <c r="AN15" s="15"/>
      <c r="AO15" s="15"/>
      <c r="AP15" s="9"/>
      <c r="AQ15" s="9"/>
      <c r="AR15" s="15"/>
      <c r="AS15" s="15"/>
      <c r="AT15" s="9"/>
      <c r="AU15" s="9"/>
      <c r="AV15" s="15"/>
      <c r="AW15" s="15"/>
      <c r="AX15" s="9"/>
      <c r="AY15" s="9"/>
      <c r="AZ15" s="15"/>
      <c r="BA15" s="15"/>
      <c r="BB15" s="9"/>
      <c r="BC15" s="9"/>
      <c r="BD15" s="15"/>
      <c r="BE15" s="15"/>
      <c r="BF15" s="9"/>
      <c r="BG15" s="9"/>
      <c r="BH15" s="15"/>
      <c r="BI15" s="15"/>
      <c r="BJ15" s="9"/>
      <c r="BK15" s="9"/>
      <c r="BL15" s="15"/>
      <c r="BM15" s="10"/>
      <c r="BN15">
        <f>SUMIFS($D15:$BM15,$D$9:$BM$9,$H$1)</f>
        <v>0</v>
      </c>
      <c r="BO15">
        <f>SUMIFS($D15:$BM15,$D$9:$BM$9,$H$2)</f>
        <v>0</v>
      </c>
      <c r="BP15">
        <f>BN15-BO15</f>
        <v>0</v>
      </c>
    </row>
    <row r="16" spans="2:69">
      <c r="B16" s="6" t="s">
        <v>28</v>
      </c>
      <c r="C16" s="6" t="s">
        <v>27</v>
      </c>
      <c r="D16" s="10"/>
      <c r="E16" s="15"/>
      <c r="F16" s="9"/>
      <c r="G16" s="9"/>
      <c r="H16" s="15"/>
      <c r="I16" s="15"/>
      <c r="J16" s="9"/>
      <c r="K16" s="9"/>
      <c r="L16" s="15"/>
      <c r="M16" s="15"/>
      <c r="N16" s="9"/>
      <c r="O16" s="9"/>
      <c r="P16" s="15"/>
      <c r="Q16" s="15"/>
      <c r="R16" s="9"/>
      <c r="S16" s="9"/>
      <c r="T16" s="15"/>
      <c r="U16" s="15"/>
      <c r="V16" s="9"/>
      <c r="W16" s="9"/>
      <c r="X16" s="15"/>
      <c r="Y16" s="15"/>
      <c r="Z16" s="9"/>
      <c r="AA16" s="9"/>
      <c r="AB16" s="15"/>
      <c r="AC16" s="15"/>
      <c r="AD16" s="9"/>
      <c r="AE16" s="9"/>
      <c r="AF16" s="15"/>
      <c r="AG16" s="15"/>
      <c r="AH16" s="9"/>
      <c r="AI16" s="9"/>
      <c r="AJ16" s="15"/>
      <c r="AK16" s="15"/>
      <c r="AL16" s="9"/>
      <c r="AM16" s="9"/>
      <c r="AN16" s="15"/>
      <c r="AO16" s="15"/>
      <c r="AP16" s="9"/>
      <c r="AQ16" s="9"/>
      <c r="AR16" s="15"/>
      <c r="AS16" s="15"/>
      <c r="AT16" s="9"/>
      <c r="AU16" s="9"/>
      <c r="AV16" s="15"/>
      <c r="AW16" s="15"/>
      <c r="AX16" s="9"/>
      <c r="AY16" s="9"/>
      <c r="AZ16" s="15"/>
      <c r="BA16" s="15"/>
      <c r="BB16" s="9"/>
      <c r="BC16" s="9"/>
      <c r="BD16" s="15"/>
      <c r="BE16" s="15"/>
      <c r="BF16" s="9"/>
      <c r="BG16" s="9"/>
      <c r="BH16" s="15"/>
      <c r="BI16" s="15"/>
      <c r="BJ16" s="9"/>
      <c r="BK16" s="9"/>
      <c r="BL16" s="15"/>
      <c r="BM16" s="10"/>
      <c r="BN16">
        <f>SUMIFS($D16:$BM16,$D$9:$BM$9,$H$1)</f>
        <v>0</v>
      </c>
      <c r="BO16">
        <f>SUMIFS($D16:$BM16,$D$9:$BM$9,$H$2)</f>
        <v>0</v>
      </c>
      <c r="BP16">
        <f>BN16-BO16</f>
        <v>0</v>
      </c>
    </row>
    <row r="17" spans="2:68">
      <c r="B17" s="6" t="s">
        <v>29</v>
      </c>
      <c r="C17" s="6" t="s">
        <v>30</v>
      </c>
      <c r="D17" s="10"/>
      <c r="E17" s="10"/>
      <c r="H17" s="10"/>
      <c r="I17" s="10"/>
      <c r="L17" s="10"/>
      <c r="M17" s="10"/>
      <c r="P17" s="10"/>
      <c r="Q17" s="10"/>
      <c r="T17" s="10"/>
      <c r="U17" s="10"/>
      <c r="X17" s="10"/>
      <c r="Y17" s="10"/>
      <c r="AB17" s="10"/>
      <c r="AC17" s="10"/>
      <c r="AF17" s="10"/>
      <c r="AG17" s="10"/>
      <c r="AJ17" s="10"/>
      <c r="AK17" s="10"/>
      <c r="AN17" s="10"/>
      <c r="AO17" s="10"/>
      <c r="AR17" s="10"/>
      <c r="AS17" s="10"/>
      <c r="AV17" s="10"/>
      <c r="AW17" s="10"/>
      <c r="AZ17" s="10"/>
      <c r="BA17" s="10"/>
      <c r="BD17" s="10"/>
      <c r="BE17" s="10"/>
      <c r="BH17" s="10"/>
      <c r="BI17" s="10"/>
      <c r="BL17" s="10"/>
      <c r="BM17" s="10"/>
      <c r="BN17">
        <f>SUMIFS($D17:$BM17,$D$9:$BM$9,$H$1)</f>
        <v>0</v>
      </c>
      <c r="BO17">
        <f>SUMIFS($D17:$BM17,$D$9:$BM$9,$H$2)</f>
        <v>0</v>
      </c>
      <c r="BP17">
        <f>BN17-BO17</f>
        <v>0</v>
      </c>
    </row>
    <row r="18" spans="2:68">
      <c r="B18" s="6" t="s">
        <v>31</v>
      </c>
      <c r="C18" s="6" t="s">
        <v>32</v>
      </c>
      <c r="D18" s="10"/>
      <c r="E18" s="10"/>
      <c r="H18" s="10"/>
      <c r="I18" s="10"/>
      <c r="L18" s="10"/>
      <c r="M18" s="10"/>
      <c r="P18" s="10"/>
      <c r="Q18" s="10"/>
      <c r="T18" s="10"/>
      <c r="U18" s="10"/>
      <c r="X18" s="10"/>
      <c r="Y18" s="10"/>
      <c r="AB18" s="10"/>
      <c r="AC18" s="10"/>
      <c r="AF18" s="10"/>
      <c r="AG18" s="10"/>
      <c r="AJ18" s="10"/>
      <c r="AK18" s="10"/>
      <c r="AN18" s="10"/>
      <c r="AO18" s="10"/>
      <c r="AR18" s="10"/>
      <c r="AS18" s="10"/>
      <c r="AV18" s="10"/>
      <c r="AW18" s="10"/>
      <c r="AZ18" s="10"/>
      <c r="BA18" s="10"/>
      <c r="BD18" s="10"/>
      <c r="BE18" s="10"/>
      <c r="BH18" s="10"/>
      <c r="BI18" s="10"/>
      <c r="BL18" s="10"/>
      <c r="BM18" s="10"/>
      <c r="BN18">
        <f>SUMIFS($D18:$BM18,$D$9:$BM$9,$H$1)</f>
        <v>0</v>
      </c>
      <c r="BO18">
        <f>SUMIFS($D18:$BM18,$D$9:$BM$9,$H$2)</f>
        <v>0</v>
      </c>
      <c r="BP18">
        <f>BN18-BO18</f>
        <v>0</v>
      </c>
    </row>
    <row r="19" spans="2:68">
      <c r="B19" s="6" t="s">
        <v>33</v>
      </c>
      <c r="C19" s="6" t="s">
        <v>34</v>
      </c>
      <c r="D19" s="10"/>
      <c r="E19" s="10"/>
      <c r="H19" s="10"/>
      <c r="I19" s="10"/>
      <c r="L19" s="10"/>
      <c r="M19" s="10"/>
      <c r="P19" s="10"/>
      <c r="Q19" s="10"/>
      <c r="T19" s="10"/>
      <c r="U19" s="10"/>
      <c r="X19" s="10"/>
      <c r="Y19" s="10"/>
      <c r="AB19" s="10"/>
      <c r="AC19" s="10"/>
      <c r="AF19" s="10"/>
      <c r="AG19" s="10"/>
      <c r="AJ19" s="10"/>
      <c r="AK19" s="10"/>
      <c r="AN19" s="10"/>
      <c r="AO19" s="10"/>
      <c r="AR19" s="10"/>
      <c r="AS19" s="10"/>
      <c r="AV19" s="10"/>
      <c r="AW19" s="10"/>
      <c r="AZ19" s="10"/>
      <c r="BA19" s="10"/>
      <c r="BD19" s="10"/>
      <c r="BE19" s="10"/>
      <c r="BH19" s="10"/>
      <c r="BI19" s="10"/>
      <c r="BL19" s="10"/>
      <c r="BM19" s="10"/>
      <c r="BN19">
        <f>SUMIFS($D19:$BM19,$D$9:$BM$9,$H$1)</f>
        <v>0</v>
      </c>
      <c r="BO19">
        <f>SUMIFS($D19:$BM19,$D$9:$BM$9,$H$2)</f>
        <v>0</v>
      </c>
      <c r="BP19">
        <f>BN19-BO19</f>
        <v>0</v>
      </c>
    </row>
    <row r="20" spans="2:68">
      <c r="B20" s="6" t="s">
        <v>35</v>
      </c>
      <c r="C20" s="6" t="s">
        <v>36</v>
      </c>
      <c r="D20" s="10"/>
      <c r="E20" s="15"/>
      <c r="F20" s="9"/>
      <c r="G20" s="9"/>
      <c r="H20" s="15"/>
      <c r="I20" s="15"/>
      <c r="J20" s="9"/>
      <c r="K20" s="9"/>
      <c r="L20" s="15"/>
      <c r="M20" s="15"/>
      <c r="N20" s="9"/>
      <c r="O20" s="9"/>
      <c r="P20" s="15"/>
      <c r="Q20" s="15"/>
      <c r="R20" s="9"/>
      <c r="S20" s="9"/>
      <c r="T20" s="15"/>
      <c r="U20" s="15"/>
      <c r="V20" s="9"/>
      <c r="W20" s="9"/>
      <c r="X20" s="15"/>
      <c r="Y20" s="15"/>
      <c r="Z20" s="9"/>
      <c r="AA20" s="9"/>
      <c r="AB20" s="15"/>
      <c r="AC20" s="15"/>
      <c r="AD20" s="9"/>
      <c r="AE20" s="9"/>
      <c r="AF20" s="15"/>
      <c r="AG20" s="15"/>
      <c r="AH20" s="9"/>
      <c r="AI20" s="9"/>
      <c r="AJ20" s="15"/>
      <c r="AK20" s="15"/>
      <c r="AL20" s="9"/>
      <c r="AM20" s="9"/>
      <c r="AN20" s="15"/>
      <c r="AO20" s="15"/>
      <c r="AP20" s="9"/>
      <c r="AQ20" s="9"/>
      <c r="AR20" s="15"/>
      <c r="AS20" s="15"/>
      <c r="AT20" s="9"/>
      <c r="AU20" s="9"/>
      <c r="AV20" s="15"/>
      <c r="AW20" s="15"/>
      <c r="AX20" s="9"/>
      <c r="AY20" s="9"/>
      <c r="AZ20" s="15"/>
      <c r="BA20" s="15"/>
      <c r="BB20" s="9"/>
      <c r="BC20" s="9"/>
      <c r="BD20" s="15"/>
      <c r="BE20" s="15"/>
      <c r="BF20" s="9"/>
      <c r="BG20" s="9"/>
      <c r="BH20" s="15"/>
      <c r="BI20" s="15"/>
      <c r="BJ20" s="9"/>
      <c r="BK20" s="9"/>
      <c r="BL20" s="15"/>
      <c r="BM20" s="10"/>
      <c r="BN20">
        <f>SUMIFS($D20:$BM20,$D$9:$BM$9,$H$1)</f>
        <v>0</v>
      </c>
      <c r="BO20">
        <f>SUMIFS($D20:$BM20,$D$9:$BM$9,$H$2)</f>
        <v>0</v>
      </c>
      <c r="BP20">
        <f>BN20-BO20</f>
        <v>0</v>
      </c>
    </row>
    <row r="21" spans="2:68">
      <c r="B21" s="6" t="s">
        <v>37</v>
      </c>
      <c r="C21" s="6" t="s">
        <v>38</v>
      </c>
      <c r="D21" s="10"/>
      <c r="E21" s="10"/>
      <c r="H21" s="10"/>
      <c r="I21" s="10"/>
      <c r="L21" s="10"/>
      <c r="M21" s="10"/>
      <c r="P21" s="10"/>
      <c r="Q21" s="10"/>
      <c r="T21" s="10"/>
      <c r="U21" s="10"/>
      <c r="X21" s="10"/>
      <c r="Y21" s="10"/>
      <c r="AB21" s="10"/>
      <c r="AC21" s="10"/>
      <c r="AF21" s="10"/>
      <c r="AG21" s="10"/>
      <c r="AJ21" s="10"/>
      <c r="AK21" s="10"/>
      <c r="AN21" s="10"/>
      <c r="AO21" s="10"/>
      <c r="AR21" s="10"/>
      <c r="AS21" s="10"/>
      <c r="AV21" s="10"/>
      <c r="AW21" s="10"/>
      <c r="AZ21" s="10"/>
      <c r="BA21" s="10"/>
      <c r="BD21" s="10"/>
      <c r="BE21" s="10"/>
      <c r="BH21" s="10"/>
      <c r="BI21" s="10"/>
      <c r="BL21" s="10"/>
      <c r="BM21" s="10"/>
      <c r="BN21">
        <f>SUMIFS($D21:$BM21,$D$9:$BM$9,$H$1)</f>
        <v>0</v>
      </c>
      <c r="BO21">
        <f>SUMIFS($D21:$BM21,$D$9:$BM$9,$H$2)</f>
        <v>0</v>
      </c>
      <c r="BP21">
        <f>BN21-BO21</f>
        <v>0</v>
      </c>
    </row>
    <row r="22" spans="2:68">
      <c r="B22" s="6" t="s">
        <v>39</v>
      </c>
      <c r="C22" s="6" t="s">
        <v>40</v>
      </c>
      <c r="D22" s="10"/>
      <c r="E22" s="10"/>
      <c r="H22" s="10"/>
      <c r="I22" s="10"/>
      <c r="L22" s="10"/>
      <c r="M22" s="10"/>
      <c r="P22" s="10"/>
      <c r="Q22" s="10"/>
      <c r="T22" s="10"/>
      <c r="U22" s="10"/>
      <c r="X22" s="10"/>
      <c r="Y22" s="10"/>
      <c r="AB22" s="10"/>
      <c r="AC22" s="10"/>
      <c r="AF22" s="10"/>
      <c r="AG22" s="10"/>
      <c r="AJ22" s="10"/>
      <c r="AK22" s="10"/>
      <c r="AN22" s="10"/>
      <c r="AO22" s="10"/>
      <c r="AR22" s="10"/>
      <c r="AS22" s="10"/>
      <c r="AV22" s="10"/>
      <c r="AW22" s="10"/>
      <c r="AZ22" s="10"/>
      <c r="BA22" s="10"/>
      <c r="BD22" s="10"/>
      <c r="BE22" s="10"/>
      <c r="BH22" s="10"/>
      <c r="BI22" s="10"/>
      <c r="BL22" s="10"/>
      <c r="BM22" s="10"/>
      <c r="BN22">
        <f>SUMIFS($D22:$BM22,$D$9:$BM$9,$H$1)</f>
        <v>0</v>
      </c>
      <c r="BO22">
        <f>SUMIFS($D22:$BM22,$D$9:$BM$9,$H$2)</f>
        <v>0</v>
      </c>
      <c r="BP22">
        <f>BN22-BO22</f>
        <v>0</v>
      </c>
    </row>
    <row r="23" spans="2:68">
      <c r="B23" s="6" t="s">
        <v>41</v>
      </c>
      <c r="C23" s="6" t="s">
        <v>42</v>
      </c>
      <c r="D23" s="10"/>
      <c r="E23" s="10"/>
      <c r="H23" s="10"/>
      <c r="I23" s="10"/>
      <c r="L23" s="10"/>
      <c r="M23" s="10"/>
      <c r="P23" s="10"/>
      <c r="Q23" s="10"/>
      <c r="T23" s="10"/>
      <c r="U23" s="10"/>
      <c r="X23" s="10"/>
      <c r="Y23" s="10"/>
      <c r="AB23" s="10"/>
      <c r="AC23" s="10"/>
      <c r="AF23" s="10"/>
      <c r="AG23" s="10"/>
      <c r="AJ23" s="10"/>
      <c r="AK23" s="10"/>
      <c r="AN23" s="10"/>
      <c r="AO23" s="10"/>
      <c r="AR23" s="10"/>
      <c r="AS23" s="10"/>
      <c r="AV23" s="10"/>
      <c r="AW23" s="10"/>
      <c r="AZ23" s="10"/>
      <c r="BA23" s="10"/>
      <c r="BD23" s="10"/>
      <c r="BE23" s="10"/>
      <c r="BH23" s="10"/>
      <c r="BI23" s="10"/>
      <c r="BL23" s="10"/>
      <c r="BM23" s="10"/>
      <c r="BN23">
        <f>SUMIFS($D23:$BM23,$D$9:$BM$9,$H$1)</f>
        <v>0</v>
      </c>
      <c r="BO23">
        <f>SUMIFS($D23:$BM23,$D$9:$BM$9,$H$2)</f>
        <v>0</v>
      </c>
      <c r="BP23">
        <f>BN23-BO23</f>
        <v>0</v>
      </c>
    </row>
    <row r="24" spans="2:68">
      <c r="B24" s="6" t="s">
        <v>43</v>
      </c>
      <c r="C24" s="6" t="s">
        <v>44</v>
      </c>
      <c r="D24" s="10"/>
      <c r="E24" s="10"/>
      <c r="H24" s="10"/>
      <c r="I24" s="10"/>
      <c r="L24" s="10"/>
      <c r="M24" s="10"/>
      <c r="P24" s="10"/>
      <c r="Q24" s="10"/>
      <c r="T24" s="10"/>
      <c r="U24" s="10"/>
      <c r="X24" s="10"/>
      <c r="Y24" s="10"/>
      <c r="AB24" s="10"/>
      <c r="AC24" s="10"/>
      <c r="AF24" s="10"/>
      <c r="AG24" s="10"/>
      <c r="AJ24" s="10"/>
      <c r="AK24" s="10"/>
      <c r="AN24" s="10"/>
      <c r="AO24" s="10"/>
      <c r="AR24" s="10"/>
      <c r="AS24" s="10"/>
      <c r="AV24" s="10"/>
      <c r="AW24" s="10"/>
      <c r="AZ24" s="10"/>
      <c r="BA24" s="10"/>
      <c r="BD24" s="10"/>
      <c r="BE24" s="10"/>
      <c r="BH24" s="10"/>
      <c r="BI24" s="10"/>
      <c r="BL24" s="10"/>
      <c r="BM24" s="10"/>
      <c r="BN24">
        <f>SUMIFS($D24:$BM24,$D$9:$BM$9,$H$1)</f>
        <v>0</v>
      </c>
      <c r="BO24">
        <f>SUMIFS($D24:$BM24,$D$9:$BM$9,$H$2)</f>
        <v>0</v>
      </c>
      <c r="BP24">
        <f>BN24-BO24</f>
        <v>0</v>
      </c>
    </row>
    <row r="25" spans="2:68">
      <c r="B25" s="6" t="s">
        <v>45</v>
      </c>
      <c r="C25" s="6" t="s">
        <v>46</v>
      </c>
      <c r="D25" s="10"/>
      <c r="E25" s="10"/>
      <c r="H25" s="10"/>
      <c r="I25" s="10"/>
      <c r="L25" s="10"/>
      <c r="M25" s="10"/>
      <c r="P25" s="10"/>
      <c r="Q25" s="10"/>
      <c r="T25" s="10"/>
      <c r="U25" s="10"/>
      <c r="X25" s="10"/>
      <c r="Y25" s="10"/>
      <c r="AB25" s="10"/>
      <c r="AC25" s="10"/>
      <c r="AF25" s="10"/>
      <c r="AG25" s="10"/>
      <c r="AJ25" s="10"/>
      <c r="AK25" s="10"/>
      <c r="AN25" s="10"/>
      <c r="AO25" s="10"/>
      <c r="AR25" s="10"/>
      <c r="AS25" s="10"/>
      <c r="AV25" s="10"/>
      <c r="AW25" s="10"/>
      <c r="AZ25" s="10"/>
      <c r="BA25" s="10"/>
      <c r="BD25" s="10"/>
      <c r="BE25" s="10"/>
      <c r="BH25" s="10"/>
      <c r="BI25" s="10"/>
      <c r="BL25" s="10"/>
      <c r="BM25" s="10"/>
      <c r="BN25">
        <f>SUMIFS($D25:$BM25,$D$9:$BM$9,$H$1)</f>
        <v>0</v>
      </c>
      <c r="BO25">
        <f>SUMIFS($D25:$BM25,$D$9:$BM$9,$H$2)</f>
        <v>0</v>
      </c>
      <c r="BP25">
        <f>BN25-BO25</f>
        <v>0</v>
      </c>
    </row>
    <row r="26" spans="2:68">
      <c r="B26" s="6" t="s">
        <v>47</v>
      </c>
      <c r="C26" s="6" t="s">
        <v>48</v>
      </c>
      <c r="D26" s="10"/>
      <c r="E26" s="10"/>
      <c r="H26" s="10"/>
      <c r="I26" s="10"/>
      <c r="L26" s="10"/>
      <c r="M26" s="10"/>
      <c r="P26" s="10"/>
      <c r="Q26" s="10"/>
      <c r="T26" s="10"/>
      <c r="U26" s="10"/>
      <c r="X26" s="10"/>
      <c r="Y26" s="10"/>
      <c r="AB26" s="10"/>
      <c r="AC26" s="10"/>
      <c r="AF26" s="10"/>
      <c r="AG26" s="10"/>
      <c r="AJ26" s="10"/>
      <c r="AK26" s="10"/>
      <c r="AN26" s="10"/>
      <c r="AO26" s="10"/>
      <c r="AR26" s="10"/>
      <c r="AS26" s="10"/>
      <c r="AV26" s="10"/>
      <c r="AW26" s="10"/>
      <c r="AZ26" s="10"/>
      <c r="BA26" s="10"/>
      <c r="BD26" s="10"/>
      <c r="BE26" s="10"/>
      <c r="BH26" s="10"/>
      <c r="BI26" s="10"/>
      <c r="BL26" s="10"/>
      <c r="BM26" s="10"/>
      <c r="BN26">
        <f>SUMIFS($D26:$BM26,$D$9:$BM$9,$H$1)</f>
        <v>0</v>
      </c>
      <c r="BO26">
        <f>SUMIFS($D26:$BM26,$D$9:$BM$9,$H$2)</f>
        <v>0</v>
      </c>
      <c r="BP26">
        <f>BN26-BO26</f>
        <v>0</v>
      </c>
    </row>
    <row r="27" spans="2:68">
      <c r="B27" s="6" t="s">
        <v>49</v>
      </c>
      <c r="C27" s="6" t="s">
        <v>50</v>
      </c>
      <c r="D27" s="10"/>
      <c r="E27" s="10"/>
      <c r="H27" s="10"/>
      <c r="I27" s="10"/>
      <c r="L27" s="10"/>
      <c r="M27" s="10"/>
      <c r="P27" s="10"/>
      <c r="Q27" s="10"/>
      <c r="T27" s="10"/>
      <c r="U27" s="10"/>
      <c r="X27" s="10"/>
      <c r="Y27" s="10"/>
      <c r="AB27" s="10"/>
      <c r="AC27" s="10"/>
      <c r="AF27" s="10"/>
      <c r="AG27" s="10"/>
      <c r="AJ27" s="10"/>
      <c r="AK27" s="10"/>
      <c r="AN27" s="10"/>
      <c r="AO27" s="10"/>
      <c r="AR27" s="10"/>
      <c r="AS27" s="10"/>
      <c r="AV27" s="10"/>
      <c r="AW27" s="10"/>
      <c r="AZ27" s="10"/>
      <c r="BA27" s="10"/>
      <c r="BD27" s="10"/>
      <c r="BE27" s="10"/>
      <c r="BH27" s="10"/>
      <c r="BI27" s="10"/>
      <c r="BL27" s="10"/>
      <c r="BM27" s="10"/>
      <c r="BN27">
        <f>SUMIFS($D27:$BM27,$D$9:$BM$9,$H$1)</f>
        <v>0</v>
      </c>
      <c r="BO27">
        <f>SUMIFS($D27:$BM27,$D$9:$BM$9,$H$2)</f>
        <v>0</v>
      </c>
      <c r="BP27">
        <f>BN27-BO27</f>
        <v>0</v>
      </c>
    </row>
    <row r="28" spans="2:68">
      <c r="B28" s="6" t="s">
        <v>51</v>
      </c>
      <c r="C28" s="6" t="s">
        <v>50</v>
      </c>
      <c r="D28" s="10"/>
      <c r="E28" s="10"/>
      <c r="H28" s="10"/>
      <c r="I28" s="10"/>
      <c r="L28" s="10"/>
      <c r="M28" s="10"/>
      <c r="P28" s="10"/>
      <c r="Q28" s="10"/>
      <c r="T28" s="10"/>
      <c r="U28" s="10"/>
      <c r="X28" s="10"/>
      <c r="Y28" s="10"/>
      <c r="AB28" s="10"/>
      <c r="AC28" s="10"/>
      <c r="AF28" s="10"/>
      <c r="AG28" s="10"/>
      <c r="AJ28" s="10"/>
      <c r="AK28" s="10"/>
      <c r="AN28" s="10"/>
      <c r="AO28" s="10"/>
      <c r="AR28" s="10"/>
      <c r="AS28" s="10"/>
      <c r="AV28" s="10"/>
      <c r="AW28" s="10"/>
      <c r="AZ28" s="10"/>
      <c r="BA28" s="10"/>
      <c r="BD28" s="10"/>
      <c r="BE28" s="10"/>
      <c r="BH28" s="10"/>
      <c r="BI28" s="10"/>
      <c r="BL28" s="10"/>
      <c r="BM28" s="10"/>
      <c r="BN28">
        <f>SUMIFS($D28:$BM28,$D$9:$BM$9,$H$1)</f>
        <v>0</v>
      </c>
      <c r="BO28">
        <f>SUMIFS($D28:$BM28,$D$9:$BM$9,$H$2)</f>
        <v>0</v>
      </c>
      <c r="BP28">
        <f>BN28-BO28</f>
        <v>0</v>
      </c>
    </row>
    <row r="29" spans="2:68">
      <c r="B29" s="6" t="s">
        <v>52</v>
      </c>
      <c r="C29" s="6" t="s">
        <v>50</v>
      </c>
      <c r="D29" s="10"/>
      <c r="E29" s="15"/>
      <c r="F29" s="9"/>
      <c r="G29" s="9"/>
      <c r="H29" s="15"/>
      <c r="I29" s="15"/>
      <c r="J29" s="9"/>
      <c r="K29" s="9"/>
      <c r="L29" s="15"/>
      <c r="M29" s="15"/>
      <c r="N29" s="9"/>
      <c r="O29" s="9"/>
      <c r="P29" s="15"/>
      <c r="Q29" s="15"/>
      <c r="R29" s="9"/>
      <c r="S29" s="9"/>
      <c r="T29" s="15"/>
      <c r="U29" s="15"/>
      <c r="V29" s="9"/>
      <c r="W29" s="9"/>
      <c r="X29" s="15"/>
      <c r="Y29" s="15"/>
      <c r="Z29" s="9"/>
      <c r="AA29" s="9"/>
      <c r="AB29" s="15"/>
      <c r="AC29" s="15"/>
      <c r="AD29" s="9"/>
      <c r="AE29" s="9"/>
      <c r="AF29" s="15"/>
      <c r="AG29" s="15"/>
      <c r="AH29" s="9"/>
      <c r="AI29" s="9"/>
      <c r="AJ29" s="15"/>
      <c r="AK29" s="15"/>
      <c r="AL29" s="9"/>
      <c r="AM29" s="9"/>
      <c r="AN29" s="15"/>
      <c r="AO29" s="15"/>
      <c r="AP29" s="9"/>
      <c r="AQ29" s="9"/>
      <c r="AR29" s="15"/>
      <c r="AS29" s="15"/>
      <c r="AT29" s="9"/>
      <c r="AU29" s="9"/>
      <c r="AV29" s="15"/>
      <c r="AW29" s="15"/>
      <c r="AX29" s="9"/>
      <c r="AY29" s="9"/>
      <c r="AZ29" s="15"/>
      <c r="BA29" s="15"/>
      <c r="BB29" s="9"/>
      <c r="BC29" s="9"/>
      <c r="BD29" s="15"/>
      <c r="BE29" s="15"/>
      <c r="BF29" s="9"/>
      <c r="BG29" s="9"/>
      <c r="BH29" s="15"/>
      <c r="BI29" s="15"/>
      <c r="BJ29" s="9"/>
      <c r="BK29" s="9"/>
      <c r="BL29" s="15"/>
      <c r="BM29" s="10"/>
      <c r="BN29">
        <f>SUMIFS($D29:$BM29,$D$9:$BM$9,$H$1)</f>
        <v>0</v>
      </c>
      <c r="BO29">
        <f>SUMIFS($D29:$BM29,$D$9:$BM$9,$H$2)</f>
        <v>0</v>
      </c>
      <c r="BP29">
        <f>BN29-BO29</f>
        <v>0</v>
      </c>
    </row>
    <row r="30" spans="2:68">
      <c r="B30" s="6" t="s">
        <v>53</v>
      </c>
      <c r="C30" s="6" t="s">
        <v>54</v>
      </c>
      <c r="D30" s="10"/>
      <c r="E30" s="10"/>
      <c r="H30" s="10"/>
      <c r="I30" s="10"/>
      <c r="L30" s="10"/>
      <c r="M30" s="10"/>
      <c r="P30" s="10"/>
      <c r="Q30" s="10"/>
      <c r="T30" s="10"/>
      <c r="U30" s="10"/>
      <c r="X30" s="10"/>
      <c r="Y30" s="10"/>
      <c r="AB30" s="10"/>
      <c r="AC30" s="10"/>
      <c r="AF30" s="10"/>
      <c r="AG30" s="10"/>
      <c r="AJ30" s="10"/>
      <c r="AK30" s="10"/>
      <c r="AN30" s="10"/>
      <c r="AO30" s="10"/>
      <c r="AR30" s="10"/>
      <c r="AS30" s="10"/>
      <c r="AV30" s="10"/>
      <c r="AW30" s="10"/>
      <c r="AZ30" s="10"/>
      <c r="BA30" s="10"/>
      <c r="BD30" s="10"/>
      <c r="BE30" s="10"/>
      <c r="BH30" s="10"/>
      <c r="BI30" s="10"/>
      <c r="BL30" s="10"/>
      <c r="BM30" s="10"/>
      <c r="BN30">
        <f>SUMIFS($D30:$BM30,$D$9:$BM$9,$H$1)</f>
        <v>0</v>
      </c>
      <c r="BO30">
        <f>SUMIFS($D30:$BM30,$D$9:$BM$9,$H$2)</f>
        <v>0</v>
      </c>
      <c r="BP30">
        <f>BN30-BO30</f>
        <v>0</v>
      </c>
    </row>
    <row r="31" spans="2:68">
      <c r="B31" s="6" t="s">
        <v>55</v>
      </c>
      <c r="C31" s="6" t="s">
        <v>56</v>
      </c>
      <c r="D31" s="10"/>
      <c r="E31" s="10"/>
      <c r="H31" s="10"/>
      <c r="I31" s="10"/>
      <c r="L31" s="10"/>
      <c r="M31" s="10"/>
      <c r="P31" s="10"/>
      <c r="Q31" s="10"/>
      <c r="T31" s="10"/>
      <c r="U31" s="10"/>
      <c r="X31" s="10"/>
      <c r="Y31" s="10"/>
      <c r="AB31" s="10"/>
      <c r="AC31" s="10"/>
      <c r="AF31" s="10"/>
      <c r="AG31" s="10"/>
      <c r="AJ31" s="10"/>
      <c r="AK31" s="10"/>
      <c r="AN31" s="10"/>
      <c r="AO31" s="10"/>
      <c r="AR31" s="10"/>
      <c r="AS31" s="10"/>
      <c r="AV31" s="10"/>
      <c r="AW31" s="10"/>
      <c r="AZ31" s="10"/>
      <c r="BA31" s="10"/>
      <c r="BD31" s="10"/>
      <c r="BE31" s="10"/>
      <c r="BH31" s="10"/>
      <c r="BI31" s="10"/>
      <c r="BL31" s="10"/>
      <c r="BM31" s="10"/>
      <c r="BN31">
        <f>SUMIFS($D31:$BM31,$D$9:$BM$9,$H$1)</f>
        <v>0</v>
      </c>
      <c r="BO31">
        <f>SUMIFS($D31:$BM31,$D$9:$BM$9,$H$2)</f>
        <v>0</v>
      </c>
      <c r="BP31">
        <f>BN31-BO31</f>
        <v>0</v>
      </c>
    </row>
    <row r="32" spans="2:68">
      <c r="B32" s="6" t="s">
        <v>57</v>
      </c>
      <c r="C32" s="6" t="s">
        <v>56</v>
      </c>
      <c r="D32" s="10"/>
      <c r="E32" s="10"/>
      <c r="H32" s="10"/>
      <c r="I32" s="10"/>
      <c r="L32" s="10"/>
      <c r="M32" s="10"/>
      <c r="P32" s="10"/>
      <c r="Q32" s="10"/>
      <c r="T32" s="10"/>
      <c r="U32" s="10"/>
      <c r="X32" s="10"/>
      <c r="Y32" s="10"/>
      <c r="AB32" s="10"/>
      <c r="AC32" s="10"/>
      <c r="AF32" s="10"/>
      <c r="AG32" s="10"/>
      <c r="AJ32" s="10"/>
      <c r="AK32" s="10"/>
      <c r="AN32" s="10"/>
      <c r="AO32" s="10"/>
      <c r="AR32" s="10"/>
      <c r="AS32" s="10"/>
      <c r="AV32" s="10"/>
      <c r="AW32" s="10"/>
      <c r="AZ32" s="10"/>
      <c r="BA32" s="10"/>
      <c r="BD32" s="10"/>
      <c r="BE32" s="10"/>
      <c r="BH32" s="10"/>
      <c r="BI32" s="10"/>
      <c r="BL32" s="10"/>
      <c r="BM32" s="10"/>
      <c r="BN32">
        <f>SUMIFS($D32:$BM32,$D$9:$BM$9,$H$1)</f>
        <v>0</v>
      </c>
      <c r="BO32">
        <f>SUMIFS($D32:$BM32,$D$9:$BM$9,$H$2)</f>
        <v>0</v>
      </c>
      <c r="BP32">
        <f>BN32-BO32</f>
        <v>0</v>
      </c>
    </row>
    <row r="33" spans="2:68">
      <c r="B33" s="6" t="s">
        <v>58</v>
      </c>
      <c r="C33" s="6" t="s">
        <v>56</v>
      </c>
      <c r="D33" s="10"/>
      <c r="E33" s="10"/>
      <c r="H33" s="10"/>
      <c r="I33" s="10"/>
      <c r="L33" s="10"/>
      <c r="M33" s="10"/>
      <c r="P33" s="10"/>
      <c r="Q33" s="10"/>
      <c r="T33" s="10"/>
      <c r="U33" s="10"/>
      <c r="X33" s="10"/>
      <c r="Y33" s="10"/>
      <c r="AB33" s="10"/>
      <c r="AC33" s="10"/>
      <c r="AF33" s="10"/>
      <c r="AG33" s="10"/>
      <c r="AJ33" s="10"/>
      <c r="AK33" s="10"/>
      <c r="AN33" s="10"/>
      <c r="AO33" s="10"/>
      <c r="AR33" s="10"/>
      <c r="AS33" s="10"/>
      <c r="AV33" s="10"/>
      <c r="AW33" s="10"/>
      <c r="AZ33" s="10"/>
      <c r="BA33" s="10"/>
      <c r="BD33" s="10"/>
      <c r="BE33" s="10"/>
      <c r="BH33" s="10"/>
      <c r="BI33" s="10"/>
      <c r="BL33" s="10"/>
      <c r="BM33" s="10"/>
      <c r="BN33">
        <f>SUMIFS($D33:$BM33,$D$9:$BM$9,$H$1)</f>
        <v>0</v>
      </c>
      <c r="BO33">
        <f>SUMIFS($D33:$BM33,$D$9:$BM$9,$H$2)</f>
        <v>0</v>
      </c>
      <c r="BP33">
        <f>BN33-BO33</f>
        <v>0</v>
      </c>
    </row>
    <row r="34" spans="2:68">
      <c r="B34" s="6" t="s">
        <v>59</v>
      </c>
      <c r="C34" s="6" t="s">
        <v>56</v>
      </c>
      <c r="D34" s="10"/>
      <c r="E34" s="10"/>
      <c r="H34" s="10"/>
      <c r="I34" s="10"/>
      <c r="L34" s="10"/>
      <c r="M34" s="10"/>
      <c r="P34" s="10"/>
      <c r="Q34" s="10"/>
      <c r="T34" s="10"/>
      <c r="U34" s="10"/>
      <c r="X34" s="10"/>
      <c r="Y34" s="10"/>
      <c r="AB34" s="10"/>
      <c r="AC34" s="10"/>
      <c r="AF34" s="10"/>
      <c r="AG34" s="10"/>
      <c r="AJ34" s="10"/>
      <c r="AK34" s="10"/>
      <c r="AN34" s="10"/>
      <c r="AO34" s="10"/>
      <c r="AR34" s="10"/>
      <c r="AS34" s="10"/>
      <c r="AV34" s="10"/>
      <c r="AW34" s="10"/>
      <c r="AZ34" s="10"/>
      <c r="BA34" s="10"/>
      <c r="BD34" s="10"/>
      <c r="BE34" s="10"/>
      <c r="BH34" s="10"/>
      <c r="BI34" s="10"/>
      <c r="BL34" s="10"/>
      <c r="BM34" s="10"/>
      <c r="BN34">
        <f>SUMIFS($D34:$BM34,$D$9:$BM$9,$H$1)</f>
        <v>0</v>
      </c>
      <c r="BO34">
        <f>SUMIFS($D34:$BM34,$D$9:$BM$9,$H$2)</f>
        <v>0</v>
      </c>
      <c r="BP34">
        <f>BN34-BO34</f>
        <v>0</v>
      </c>
    </row>
    <row r="35" spans="2:68">
      <c r="B35" s="6" t="s">
        <v>60</v>
      </c>
      <c r="C35" s="6" t="s">
        <v>61</v>
      </c>
      <c r="D35" s="10"/>
      <c r="E35" s="10"/>
      <c r="H35" s="10"/>
      <c r="I35" s="10"/>
      <c r="L35" s="10"/>
      <c r="M35" s="10"/>
      <c r="P35" s="10"/>
      <c r="Q35" s="10"/>
      <c r="T35" s="10"/>
      <c r="U35" s="10"/>
      <c r="X35" s="10"/>
      <c r="Y35" s="10"/>
      <c r="AB35" s="10"/>
      <c r="AC35" s="10"/>
      <c r="AF35" s="10"/>
      <c r="AG35" s="10"/>
      <c r="AJ35" s="10"/>
      <c r="AK35" s="10"/>
      <c r="AN35" s="10"/>
      <c r="AO35" s="10"/>
      <c r="AR35" s="10"/>
      <c r="AS35" s="10"/>
      <c r="AV35" s="10"/>
      <c r="AW35" s="10"/>
      <c r="AZ35" s="10"/>
      <c r="BA35" s="10"/>
      <c r="BD35" s="10"/>
      <c r="BE35" s="10"/>
      <c r="BH35" s="10"/>
      <c r="BI35" s="10"/>
      <c r="BL35" s="10"/>
      <c r="BM35" s="10"/>
      <c r="BN35">
        <f>SUMIFS($D35:$BM35,$D$9:$BM$9,$H$1)</f>
        <v>0</v>
      </c>
      <c r="BO35">
        <f>SUMIFS($D35:$BM35,$D$9:$BM$9,$H$2)</f>
        <v>0</v>
      </c>
      <c r="BP35">
        <f>BN35-BO35</f>
        <v>0</v>
      </c>
    </row>
    <row r="36" spans="2:68">
      <c r="B36" s="6" t="s">
        <v>62</v>
      </c>
      <c r="C36" s="6" t="s">
        <v>63</v>
      </c>
      <c r="D36" s="10"/>
      <c r="E36" s="10"/>
      <c r="H36" s="10"/>
      <c r="I36" s="10"/>
      <c r="L36" s="10"/>
      <c r="M36" s="10"/>
      <c r="P36" s="10"/>
      <c r="Q36" s="10"/>
      <c r="T36" s="10"/>
      <c r="U36" s="10"/>
      <c r="X36" s="10"/>
      <c r="Y36" s="10"/>
      <c r="AB36" s="10"/>
      <c r="AC36" s="10"/>
      <c r="AF36" s="10"/>
      <c r="AG36" s="10"/>
      <c r="AJ36" s="10"/>
      <c r="AK36" s="10"/>
      <c r="AN36" s="10"/>
      <c r="AO36" s="10"/>
      <c r="AR36" s="10"/>
      <c r="AS36" s="10"/>
      <c r="AV36" s="10"/>
      <c r="AW36" s="10"/>
      <c r="AZ36" s="10"/>
      <c r="BA36" s="10"/>
      <c r="BD36" s="10"/>
      <c r="BE36" s="10"/>
      <c r="BH36" s="10"/>
      <c r="BI36" s="10"/>
      <c r="BL36" s="10"/>
      <c r="BM36" s="10"/>
      <c r="BN36">
        <f>SUMIFS($D36:$BM36,$D$9:$BM$9,$H$1)</f>
        <v>0</v>
      </c>
      <c r="BO36">
        <f>SUMIFS($D36:$BM36,$D$9:$BM$9,$H$2)</f>
        <v>0</v>
      </c>
      <c r="BP36">
        <f>BN36-BO36</f>
        <v>0</v>
      </c>
    </row>
    <row r="37" spans="2:68">
      <c r="B37" s="6" t="s">
        <v>64</v>
      </c>
      <c r="C37" s="6" t="s">
        <v>63</v>
      </c>
      <c r="D37" s="10"/>
      <c r="E37" s="10"/>
      <c r="H37" s="10"/>
      <c r="I37" s="10"/>
      <c r="L37" s="10"/>
      <c r="M37" s="10"/>
      <c r="P37" s="10"/>
      <c r="Q37" s="10"/>
      <c r="T37" s="10"/>
      <c r="U37" s="10"/>
      <c r="X37" s="10"/>
      <c r="Y37" s="10"/>
      <c r="AB37" s="10"/>
      <c r="AC37" s="10"/>
      <c r="AF37" s="10"/>
      <c r="AG37" s="10"/>
      <c r="AJ37" s="10"/>
      <c r="AK37" s="10"/>
      <c r="AN37" s="10"/>
      <c r="AO37" s="10"/>
      <c r="AR37" s="10"/>
      <c r="AS37" s="10"/>
      <c r="AV37" s="10"/>
      <c r="AW37" s="10"/>
      <c r="AZ37" s="10"/>
      <c r="BA37" s="10"/>
      <c r="BD37" s="10"/>
      <c r="BE37" s="10"/>
      <c r="BH37" s="10"/>
      <c r="BI37" s="10"/>
      <c r="BL37" s="10"/>
      <c r="BM37" s="10"/>
      <c r="BN37">
        <f>SUMIFS($D37:$BM37,$D$9:$BM$9,$H$1)</f>
        <v>0</v>
      </c>
      <c r="BO37">
        <f>SUMIFS($D37:$BM37,$D$9:$BM$9,$H$2)</f>
        <v>0</v>
      </c>
      <c r="BP37">
        <f>BN37-BO37</f>
        <v>0</v>
      </c>
    </row>
    <row r="38" spans="2:68">
      <c r="B38" s="6" t="s">
        <v>65</v>
      </c>
      <c r="C38" s="6" t="s">
        <v>66</v>
      </c>
      <c r="D38" s="10"/>
      <c r="E38" s="10"/>
      <c r="H38" s="10"/>
      <c r="I38" s="10"/>
      <c r="L38" s="10"/>
      <c r="M38" s="10"/>
      <c r="P38" s="10"/>
      <c r="Q38" s="10"/>
      <c r="T38" s="10"/>
      <c r="U38" s="10"/>
      <c r="X38" s="10"/>
      <c r="Y38" s="10"/>
      <c r="AB38" s="10"/>
      <c r="AC38" s="10"/>
      <c r="AF38" s="10"/>
      <c r="AG38" s="10"/>
      <c r="AJ38" s="10"/>
      <c r="AK38" s="10"/>
      <c r="AN38" s="10"/>
      <c r="AO38" s="10"/>
      <c r="AR38" s="10"/>
      <c r="AS38" s="10"/>
      <c r="AV38" s="10"/>
      <c r="AW38" s="10"/>
      <c r="AZ38" s="10"/>
      <c r="BA38" s="10"/>
      <c r="BD38" s="10"/>
      <c r="BE38" s="10"/>
      <c r="BH38" s="10"/>
      <c r="BI38" s="10"/>
      <c r="BL38" s="10"/>
      <c r="BM38" s="10"/>
      <c r="BN38">
        <f>SUMIFS($D38:$BM38,$D$9:$BM$9,$H$1)</f>
        <v>0</v>
      </c>
      <c r="BO38">
        <f>SUMIFS($D38:$BM38,$D$9:$BM$9,$H$2)</f>
        <v>0</v>
      </c>
      <c r="BP38">
        <f>BN38-BO38</f>
        <v>0</v>
      </c>
    </row>
    <row r="39" spans="2:68">
      <c r="B39" s="6" t="s">
        <v>67</v>
      </c>
      <c r="C39" s="6" t="s">
        <v>68</v>
      </c>
      <c r="D39" s="10"/>
      <c r="E39" s="10"/>
      <c r="H39" s="10"/>
      <c r="I39" s="10"/>
      <c r="L39" s="10"/>
      <c r="M39" s="10"/>
      <c r="P39" s="10"/>
      <c r="Q39" s="10"/>
      <c r="T39" s="10"/>
      <c r="U39" s="10"/>
      <c r="X39" s="10"/>
      <c r="Y39" s="10"/>
      <c r="AB39" s="10"/>
      <c r="AC39" s="10"/>
      <c r="AF39" s="10"/>
      <c r="AG39" s="10"/>
      <c r="AJ39" s="10"/>
      <c r="AK39" s="10"/>
      <c r="AN39" s="10"/>
      <c r="AO39" s="10"/>
      <c r="AR39" s="10"/>
      <c r="AS39" s="10"/>
      <c r="AV39" s="10"/>
      <c r="AW39" s="10"/>
      <c r="AZ39" s="10"/>
      <c r="BA39" s="10"/>
      <c r="BD39" s="10"/>
      <c r="BE39" s="10"/>
      <c r="BH39" s="10"/>
      <c r="BI39" s="10"/>
      <c r="BL39" s="10"/>
      <c r="BM39" s="10"/>
      <c r="BN39">
        <f>SUMIFS($D39:$BM39,$D$9:$BM$9,$H$1)</f>
        <v>0</v>
      </c>
      <c r="BO39">
        <f>SUMIFS($D39:$BM39,$D$9:$BM$9,$H$2)</f>
        <v>0</v>
      </c>
      <c r="BP39">
        <f>BN39-BO39</f>
        <v>0</v>
      </c>
    </row>
    <row r="40" spans="2:68">
      <c r="B40" s="6" t="s">
        <v>69</v>
      </c>
      <c r="C40" s="6" t="s">
        <v>70</v>
      </c>
      <c r="D40" s="10"/>
      <c r="E40" s="10"/>
      <c r="H40" s="10"/>
      <c r="I40" s="10"/>
      <c r="L40" s="10"/>
      <c r="M40" s="10"/>
      <c r="P40" s="10"/>
      <c r="Q40" s="10"/>
      <c r="T40" s="10"/>
      <c r="U40" s="10"/>
      <c r="X40" s="10"/>
      <c r="Y40" s="10"/>
      <c r="AB40" s="10"/>
      <c r="AC40" s="10"/>
      <c r="AF40" s="10"/>
      <c r="AG40" s="10"/>
      <c r="AJ40" s="10"/>
      <c r="AK40" s="10"/>
      <c r="AN40" s="10"/>
      <c r="AO40" s="10"/>
      <c r="AR40" s="10"/>
      <c r="AS40" s="10"/>
      <c r="AV40" s="10"/>
      <c r="AW40" s="10"/>
      <c r="AZ40" s="10"/>
      <c r="BA40" s="10"/>
      <c r="BD40" s="10"/>
      <c r="BE40" s="10"/>
      <c r="BH40" s="10"/>
      <c r="BI40" s="10"/>
      <c r="BL40" s="10"/>
      <c r="BM40" s="10"/>
      <c r="BN40">
        <f>SUMIFS($D40:$BM40,$D$9:$BM$9,$H$1)</f>
        <v>0</v>
      </c>
      <c r="BO40">
        <f>SUMIFS($D40:$BM40,$D$9:$BM$9,$H$2)</f>
        <v>0</v>
      </c>
      <c r="BP40">
        <f>BN40-BO40</f>
        <v>0</v>
      </c>
    </row>
    <row r="41" spans="2:68">
      <c r="B41" s="6" t="s">
        <v>71</v>
      </c>
      <c r="C41" s="6" t="s">
        <v>72</v>
      </c>
      <c r="D41" s="10"/>
      <c r="E41" s="10"/>
      <c r="H41" s="10"/>
      <c r="I41" s="10"/>
      <c r="L41" s="10"/>
      <c r="M41" s="10"/>
      <c r="P41" s="10"/>
      <c r="Q41" s="10"/>
      <c r="T41" s="10"/>
      <c r="U41" s="10"/>
      <c r="X41" s="10"/>
      <c r="Y41" s="10"/>
      <c r="AB41" s="10"/>
      <c r="AC41" s="10"/>
      <c r="AF41" s="10"/>
      <c r="AG41" s="10"/>
      <c r="AJ41" s="10"/>
      <c r="AK41" s="10"/>
      <c r="AN41" s="10"/>
      <c r="AO41" s="10"/>
      <c r="AR41" s="10"/>
      <c r="AS41" s="10"/>
      <c r="AV41" s="10"/>
      <c r="AW41" s="10"/>
      <c r="AZ41" s="10"/>
      <c r="BA41" s="10"/>
      <c r="BD41" s="10"/>
      <c r="BE41" s="10"/>
      <c r="BH41" s="10"/>
      <c r="BI41" s="10"/>
      <c r="BL41" s="10"/>
      <c r="BM41" s="10"/>
      <c r="BN41">
        <f>SUMIFS($D41:$BM41,$D$9:$BM$9,$H$1)</f>
        <v>0</v>
      </c>
      <c r="BO41">
        <f>SUMIFS($D41:$BM41,$D$9:$BM$9,$H$2)</f>
        <v>0</v>
      </c>
      <c r="BP41">
        <f>BN41-BO41</f>
        <v>0</v>
      </c>
    </row>
    <row r="42" spans="2:68">
      <c r="B42" s="6" t="s">
        <v>73</v>
      </c>
      <c r="C42" s="6" t="s">
        <v>74</v>
      </c>
      <c r="D42" s="10"/>
      <c r="E42" s="10"/>
      <c r="H42" s="10"/>
      <c r="I42" s="10"/>
      <c r="L42" s="10"/>
      <c r="M42" s="10"/>
      <c r="P42" s="10"/>
      <c r="Q42" s="10"/>
      <c r="T42" s="10"/>
      <c r="U42" s="10"/>
      <c r="X42" s="10"/>
      <c r="Y42" s="10"/>
      <c r="AB42" s="10"/>
      <c r="AC42" s="10"/>
      <c r="AF42" s="10"/>
      <c r="AG42" s="10"/>
      <c r="AJ42" s="10"/>
      <c r="AK42" s="10"/>
      <c r="AN42" s="10"/>
      <c r="AO42" s="10"/>
      <c r="AR42" s="10"/>
      <c r="AS42" s="10"/>
      <c r="AV42" s="10"/>
      <c r="AW42" s="10"/>
      <c r="AZ42" s="10"/>
      <c r="BA42" s="10"/>
      <c r="BD42" s="10"/>
      <c r="BE42" s="10"/>
      <c r="BH42" s="10"/>
      <c r="BI42" s="10"/>
      <c r="BL42" s="10"/>
      <c r="BM42" s="10"/>
      <c r="BN42">
        <f>SUMIFS($D42:$BM42,$D$9:$BM$9,$H$1)</f>
        <v>0</v>
      </c>
      <c r="BO42">
        <f>SUMIFS($D42:$BM42,$D$9:$BM$9,$H$2)</f>
        <v>0</v>
      </c>
      <c r="BP42">
        <f>BN42-BO42</f>
        <v>0</v>
      </c>
    </row>
    <row r="43" spans="2:68">
      <c r="B43" s="6" t="s">
        <v>75</v>
      </c>
      <c r="C43" s="6" t="s">
        <v>76</v>
      </c>
      <c r="D43" s="10"/>
      <c r="E43" s="10"/>
      <c r="H43" s="10"/>
      <c r="I43" s="10"/>
      <c r="L43" s="10"/>
      <c r="M43" s="10"/>
      <c r="P43" s="10"/>
      <c r="Q43" s="10"/>
      <c r="T43" s="10"/>
      <c r="U43" s="10"/>
      <c r="X43" s="10"/>
      <c r="Y43" s="10"/>
      <c r="AB43" s="10"/>
      <c r="AC43" s="10"/>
      <c r="AF43" s="10"/>
      <c r="AG43" s="10"/>
      <c r="AJ43" s="10"/>
      <c r="AK43" s="10"/>
      <c r="AN43" s="10"/>
      <c r="AO43" s="10"/>
      <c r="AR43" s="10"/>
      <c r="AS43" s="10"/>
      <c r="AV43" s="10"/>
      <c r="AW43" s="10"/>
      <c r="AZ43" s="10"/>
      <c r="BA43" s="10"/>
      <c r="BD43" s="10"/>
      <c r="BE43" s="10"/>
      <c r="BH43" s="10"/>
      <c r="BI43" s="10"/>
      <c r="BL43" s="10"/>
      <c r="BM43" s="10"/>
      <c r="BN43">
        <f>SUMIFS($D43:$BM43,$D$9:$BM$9,$H$1)</f>
        <v>0</v>
      </c>
      <c r="BO43">
        <f>SUMIFS($D43:$BM43,$D$9:$BM$9,$H$2)</f>
        <v>0</v>
      </c>
      <c r="BP43">
        <f>BN43-BO43</f>
        <v>0</v>
      </c>
    </row>
    <row r="44" spans="2:68">
      <c r="B44" s="6" t="s">
        <v>77</v>
      </c>
      <c r="C44" s="6" t="s">
        <v>78</v>
      </c>
      <c r="D44" s="10"/>
      <c r="E44" s="10"/>
      <c r="H44" s="10"/>
      <c r="I44" s="10"/>
      <c r="L44" s="10"/>
      <c r="M44" s="10"/>
      <c r="P44" s="10"/>
      <c r="Q44" s="10"/>
      <c r="T44" s="10"/>
      <c r="U44" s="10"/>
      <c r="X44" s="10"/>
      <c r="Y44" s="10"/>
      <c r="AB44" s="10"/>
      <c r="AC44" s="10"/>
      <c r="AF44" s="10"/>
      <c r="AG44" s="10"/>
      <c r="AJ44" s="10"/>
      <c r="AK44" s="10"/>
      <c r="AN44" s="10"/>
      <c r="AO44" s="10"/>
      <c r="AR44" s="10"/>
      <c r="AS44" s="10"/>
      <c r="AV44" s="10"/>
      <c r="AW44" s="10"/>
      <c r="AZ44" s="10"/>
      <c r="BA44" s="10"/>
      <c r="BD44" s="10"/>
      <c r="BE44" s="10"/>
      <c r="BH44" s="10"/>
      <c r="BI44" s="10"/>
      <c r="BL44" s="10"/>
      <c r="BM44" s="10"/>
      <c r="BN44">
        <f>SUMIFS($D44:$BM44,$D$9:$BM$9,$H$1)</f>
        <v>0</v>
      </c>
      <c r="BO44">
        <f>SUMIFS($D44:$BM44,$D$9:$BM$9,$H$2)</f>
        <v>0</v>
      </c>
      <c r="BP44">
        <f>BN44-BO44</f>
        <v>0</v>
      </c>
    </row>
    <row r="45" spans="2:68">
      <c r="B45" s="6" t="s">
        <v>79</v>
      </c>
      <c r="C45" s="6" t="s">
        <v>78</v>
      </c>
      <c r="D45" s="10"/>
      <c r="E45" s="10"/>
      <c r="H45" s="10"/>
      <c r="I45" s="10"/>
      <c r="L45" s="10"/>
      <c r="M45" s="10"/>
      <c r="P45" s="10"/>
      <c r="Q45" s="10"/>
      <c r="T45" s="10"/>
      <c r="U45" s="10"/>
      <c r="X45" s="10"/>
      <c r="Y45" s="10"/>
      <c r="AB45" s="10"/>
      <c r="AC45" s="10"/>
      <c r="AF45" s="10"/>
      <c r="AG45" s="10"/>
      <c r="AJ45" s="10"/>
      <c r="AK45" s="10"/>
      <c r="AN45" s="10"/>
      <c r="AO45" s="10"/>
      <c r="AR45" s="10"/>
      <c r="AS45" s="10"/>
      <c r="AV45" s="10"/>
      <c r="AW45" s="10"/>
      <c r="AZ45" s="10"/>
      <c r="BA45" s="10"/>
      <c r="BD45" s="10"/>
      <c r="BE45" s="10"/>
      <c r="BH45" s="10"/>
      <c r="BI45" s="10"/>
      <c r="BL45" s="10"/>
      <c r="BM45" s="10"/>
      <c r="BN45">
        <f>SUMIFS($D45:$BM45,$D$9:$BM$9,$H$1)</f>
        <v>0</v>
      </c>
      <c r="BO45">
        <f>SUMIFS($D45:$BM45,$D$9:$BM$9,$H$2)</f>
        <v>0</v>
      </c>
      <c r="BP45">
        <f>BN45-BO45</f>
        <v>0</v>
      </c>
    </row>
    <row r="46" spans="2:68">
      <c r="B46" s="6" t="s">
        <v>80</v>
      </c>
      <c r="C46" s="6" t="s">
        <v>81</v>
      </c>
      <c r="D46" s="10"/>
      <c r="E46" s="10"/>
      <c r="H46" s="10"/>
      <c r="I46" s="10"/>
      <c r="L46" s="10"/>
      <c r="M46" s="10"/>
      <c r="P46" s="10"/>
      <c r="Q46" s="10"/>
      <c r="T46" s="10"/>
      <c r="U46" s="10"/>
      <c r="X46" s="10"/>
      <c r="Y46" s="10"/>
      <c r="AB46" s="10"/>
      <c r="AC46" s="10"/>
      <c r="AF46" s="10"/>
      <c r="AG46" s="10"/>
      <c r="AJ46" s="10"/>
      <c r="AK46" s="10"/>
      <c r="AN46" s="10"/>
      <c r="AO46" s="10"/>
      <c r="AR46" s="10"/>
      <c r="AS46" s="10"/>
      <c r="AV46" s="10"/>
      <c r="AW46" s="10"/>
      <c r="AZ46" s="10"/>
      <c r="BA46" s="10"/>
      <c r="BD46" s="10"/>
      <c r="BE46" s="10"/>
      <c r="BH46" s="10"/>
      <c r="BI46" s="10"/>
      <c r="BL46" s="10"/>
      <c r="BM46" s="10"/>
      <c r="BN46">
        <f>SUMIFS($D46:$BM46,$D$9:$BM$9,$H$1)</f>
        <v>0</v>
      </c>
      <c r="BO46">
        <f>SUMIFS($D46:$BM46,$D$9:$BM$9,$H$2)</f>
        <v>0</v>
      </c>
      <c r="BP46">
        <f>BN46-BO46</f>
        <v>0</v>
      </c>
    </row>
    <row r="47" spans="2:68">
      <c r="B47" s="6" t="s">
        <v>82</v>
      </c>
      <c r="C47" s="6" t="s">
        <v>81</v>
      </c>
      <c r="D47" s="10"/>
      <c r="E47" s="10"/>
      <c r="H47" s="10"/>
      <c r="I47" s="10"/>
      <c r="L47" s="10"/>
      <c r="M47" s="10"/>
      <c r="P47" s="10"/>
      <c r="Q47" s="10"/>
      <c r="T47" s="10"/>
      <c r="U47" s="10"/>
      <c r="X47" s="10"/>
      <c r="Y47" s="10"/>
      <c r="AB47" s="10"/>
      <c r="AC47" s="10"/>
      <c r="AF47" s="10"/>
      <c r="AG47" s="10"/>
      <c r="AJ47" s="10"/>
      <c r="AK47" s="10"/>
      <c r="AN47" s="10"/>
      <c r="AO47" s="10"/>
      <c r="AR47" s="10"/>
      <c r="AS47" s="10"/>
      <c r="AV47" s="10"/>
      <c r="AW47" s="10"/>
      <c r="AZ47" s="10"/>
      <c r="BA47" s="10"/>
      <c r="BD47" s="10"/>
      <c r="BE47" s="10"/>
      <c r="BH47" s="10"/>
      <c r="BI47" s="10"/>
      <c r="BL47" s="10"/>
      <c r="BM47" s="10"/>
      <c r="BN47">
        <f>SUMIFS($D47:$BM47,$D$9:$BM$9,$H$1)</f>
        <v>0</v>
      </c>
      <c r="BO47">
        <f>SUMIFS($D47:$BM47,$D$9:$BM$9,$H$2)</f>
        <v>0</v>
      </c>
      <c r="BP47">
        <f>BN47-BO47</f>
        <v>0</v>
      </c>
    </row>
    <row r="48" spans="2:68">
      <c r="B48" s="6" t="s">
        <v>83</v>
      </c>
      <c r="C48" s="6" t="s">
        <v>84</v>
      </c>
      <c r="D48" s="15"/>
      <c r="E48" s="15"/>
      <c r="F48" s="9"/>
      <c r="G48" s="9"/>
      <c r="H48" s="15"/>
      <c r="I48" s="15"/>
      <c r="J48" s="9"/>
      <c r="K48" s="9"/>
      <c r="L48" s="15"/>
      <c r="M48" s="15"/>
      <c r="N48" s="9"/>
      <c r="O48" s="9"/>
      <c r="P48" s="15"/>
      <c r="Q48" s="15"/>
      <c r="R48" s="9"/>
      <c r="S48" s="9"/>
      <c r="T48" s="15"/>
      <c r="U48" s="15"/>
      <c r="V48" s="9"/>
      <c r="W48" s="9"/>
      <c r="X48" s="15"/>
      <c r="Y48" s="15"/>
      <c r="Z48" s="9"/>
      <c r="AA48" s="9"/>
      <c r="AB48" s="15"/>
      <c r="AC48" s="15"/>
      <c r="AD48" s="9"/>
      <c r="AE48" s="9"/>
      <c r="AF48" s="15"/>
      <c r="AG48" s="15"/>
      <c r="AH48" s="9"/>
      <c r="AI48" s="9"/>
      <c r="AJ48" s="15"/>
      <c r="AK48" s="15"/>
      <c r="AL48" s="9"/>
      <c r="AM48" s="9"/>
      <c r="AN48" s="15"/>
      <c r="AO48" s="15"/>
      <c r="AP48" s="9"/>
      <c r="AQ48" s="9"/>
      <c r="AR48" s="15"/>
      <c r="AS48" s="15"/>
      <c r="AT48" s="9"/>
      <c r="AU48" s="9"/>
      <c r="AV48" s="15"/>
      <c r="AW48" s="15"/>
      <c r="AX48" s="9"/>
      <c r="AY48" s="9"/>
      <c r="AZ48" s="15"/>
      <c r="BA48" s="15"/>
      <c r="BB48" s="9"/>
      <c r="BC48" s="9"/>
      <c r="BD48" s="15"/>
      <c r="BE48" s="15"/>
      <c r="BF48" s="9"/>
      <c r="BG48" s="9"/>
      <c r="BH48" s="15"/>
      <c r="BI48" s="15"/>
      <c r="BJ48" s="9"/>
      <c r="BK48" s="9"/>
      <c r="BL48" s="15"/>
      <c r="BM48" s="15"/>
      <c r="BN48">
        <f>SUMIFS($D48:$BM48,$D$9:$BM$9,$H$1)</f>
        <v>0</v>
      </c>
      <c r="BO48">
        <f>SUMIFS($D48:$BM48,$D$9:$BM$9,$H$2)</f>
        <v>0</v>
      </c>
      <c r="BP48">
        <f>BN48-BO48</f>
        <v>0</v>
      </c>
    </row>
    <row r="49" spans="2:68">
      <c r="B49" s="6" t="s">
        <v>85</v>
      </c>
      <c r="C49" s="6" t="s">
        <v>86</v>
      </c>
      <c r="D49" s="10"/>
      <c r="E49" s="10"/>
      <c r="H49" s="10"/>
      <c r="I49" s="10"/>
      <c r="L49" s="10"/>
      <c r="M49" s="10"/>
      <c r="P49" s="10"/>
      <c r="Q49" s="10"/>
      <c r="T49" s="10"/>
      <c r="U49" s="10"/>
      <c r="X49" s="10"/>
      <c r="Y49" s="10"/>
      <c r="AB49" s="10"/>
      <c r="AC49" s="10"/>
      <c r="AF49" s="10"/>
      <c r="AG49" s="10"/>
      <c r="AJ49" s="10"/>
      <c r="AK49" s="10"/>
      <c r="AN49" s="10"/>
      <c r="AO49" s="10"/>
      <c r="AR49" s="10"/>
      <c r="AS49" s="10"/>
      <c r="AV49" s="10"/>
      <c r="AW49" s="10"/>
      <c r="AZ49" s="10"/>
      <c r="BA49" s="10"/>
      <c r="BD49" s="10"/>
      <c r="BE49" s="10"/>
      <c r="BH49" s="10"/>
      <c r="BI49" s="10"/>
      <c r="BL49" s="10"/>
      <c r="BM49" s="10"/>
      <c r="BN49">
        <f>SUMIFS($D49:$BM49,$D$9:$BM$9,$H$1)</f>
        <v>0</v>
      </c>
      <c r="BO49">
        <f>SUMIFS($D49:$BM49,$D$9:$BM$9,$H$2)</f>
        <v>0</v>
      </c>
      <c r="BP49">
        <f>BN49-BO49</f>
        <v>0</v>
      </c>
    </row>
    <row r="50" spans="2:68">
      <c r="B50" s="6" t="s">
        <v>87</v>
      </c>
      <c r="C50" s="6" t="s">
        <v>88</v>
      </c>
      <c r="BN50">
        <f>SUMIFS($D50:$BM50,$D$9:$BM$9,$H$1)</f>
        <v>0</v>
      </c>
      <c r="BO50">
        <f>SUMIFS($D50:$BM50,$D$9:$BM$9,$H$2)</f>
        <v>0</v>
      </c>
      <c r="BP50">
        <f>BN50-BO50</f>
        <v>0</v>
      </c>
    </row>
    <row r="51" spans="2:68">
      <c r="B51" s="6" t="s">
        <v>89</v>
      </c>
      <c r="C51" s="6" t="s">
        <v>88</v>
      </c>
      <c r="BN51">
        <f>SUMIFS($D51:$BM51,$D$9:$BM$9,$H$1)</f>
        <v>0</v>
      </c>
      <c r="BO51">
        <f>SUMIFS($D51:$BM51,$D$9:$BM$9,$H$2)</f>
        <v>0</v>
      </c>
      <c r="BP51">
        <f>BN51-BO51</f>
        <v>0</v>
      </c>
    </row>
    <row r="52" spans="2:68">
      <c r="B52" s="6" t="s">
        <v>90</v>
      </c>
      <c r="C52" s="6" t="s">
        <v>91</v>
      </c>
      <c r="BN52">
        <f>SUMIFS($D52:$BM52,$D$9:$BM$9,$H$1)</f>
        <v>0</v>
      </c>
      <c r="BO52">
        <f>SUMIFS($D52:$BM52,$D$9:$BM$9,$H$2)</f>
        <v>0</v>
      </c>
      <c r="BP52">
        <f>BN52-BO52</f>
        <v>0</v>
      </c>
    </row>
    <row r="53" spans="2:68">
      <c r="B53" s="6" t="s">
        <v>92</v>
      </c>
      <c r="C53" s="6" t="s">
        <v>91</v>
      </c>
      <c r="BN53">
        <f>SUMIFS($D53:$BM53,$D$9:$BM$9,$H$1)</f>
        <v>0</v>
      </c>
      <c r="BO53">
        <f>SUMIFS($D53:$BM53,$D$9:$BM$9,$H$2)</f>
        <v>0</v>
      </c>
      <c r="BP53">
        <f>BN53-BO53</f>
        <v>0</v>
      </c>
    </row>
    <row r="54" spans="2:68">
      <c r="B54" s="6" t="s">
        <v>93</v>
      </c>
      <c r="C54" s="6" t="s">
        <v>94</v>
      </c>
      <c r="BN54">
        <f>SUMIFS($D54:$BM54,$D$9:$BM$9,$H$1)</f>
        <v>0</v>
      </c>
      <c r="BO54">
        <f>SUMIFS($D54:$BM54,$D$9:$BM$9,$H$2)</f>
        <v>0</v>
      </c>
      <c r="BP54">
        <f>BN54-BO54</f>
        <v>0</v>
      </c>
    </row>
    <row r="55" spans="2:68">
      <c r="B55" s="6" t="s">
        <v>95</v>
      </c>
      <c r="C55" s="6" t="s">
        <v>94</v>
      </c>
      <c r="BN55">
        <f>SUMIFS($D55:$BM55,$D$9:$BM$9,$H$1)</f>
        <v>0</v>
      </c>
      <c r="BO55">
        <f>SUMIFS($D55:$BM55,$D$9:$BM$9,$H$2)</f>
        <v>0</v>
      </c>
      <c r="BP55">
        <f>BN55-BO55</f>
        <v>0</v>
      </c>
    </row>
    <row r="56" spans="2:68">
      <c r="B56" s="6" t="s">
        <v>96</v>
      </c>
      <c r="C56" s="6" t="s">
        <v>97</v>
      </c>
      <c r="BN56">
        <f>SUMIFS($D56:$BM56,$D$9:$BM$9,$H$1)</f>
        <v>0</v>
      </c>
      <c r="BO56">
        <f>SUMIFS($D56:$BM56,$D$9:$BM$9,$H$2)</f>
        <v>0</v>
      </c>
      <c r="BP56">
        <f>BN56-BO56</f>
        <v>0</v>
      </c>
    </row>
    <row r="57" spans="2:68">
      <c r="B57" s="6" t="s">
        <v>98</v>
      </c>
      <c r="C57" s="6" t="s">
        <v>99</v>
      </c>
      <c r="BN57">
        <f>SUMIFS($D57:$BM57,$D$9:$BM$9,$H$1)</f>
        <v>0</v>
      </c>
      <c r="BO57">
        <f>SUMIFS($D57:$BM57,$D$9:$BM$9,$H$2)</f>
        <v>0</v>
      </c>
      <c r="BP57">
        <f>BN57-BO57</f>
        <v>0</v>
      </c>
    </row>
  </sheetData>
  <sortState xmlns:xlrd2="http://schemas.microsoft.com/office/spreadsheetml/2017/richdata2" ref="B10:BP57">
    <sortCondition descending="1" ref="BP10:BP57"/>
  </sortState>
  <mergeCells count="93">
    <mergeCell ref="AP7:AQ7"/>
    <mergeCell ref="AR7:AS7"/>
    <mergeCell ref="AT7:AU7"/>
    <mergeCell ref="AV7:AW7"/>
    <mergeCell ref="BL7:BM7"/>
    <mergeCell ref="AZ7:BA7"/>
    <mergeCell ref="BB7:BC7"/>
    <mergeCell ref="BD7:BE7"/>
    <mergeCell ref="BF7:BG7"/>
    <mergeCell ref="BH7:BI7"/>
    <mergeCell ref="BJ7:BK7"/>
    <mergeCell ref="P7:Q7"/>
    <mergeCell ref="R7:S7"/>
    <mergeCell ref="T7:U7"/>
    <mergeCell ref="V7:W7"/>
    <mergeCell ref="X7:Y7"/>
    <mergeCell ref="Z7:AA7"/>
    <mergeCell ref="BF6:BG6"/>
    <mergeCell ref="BH6:BI6"/>
    <mergeCell ref="BJ6:BK6"/>
    <mergeCell ref="BL6:BM6"/>
    <mergeCell ref="BB6:BC6"/>
    <mergeCell ref="BD6:BE6"/>
    <mergeCell ref="AF6:AG6"/>
    <mergeCell ref="AX7:AY7"/>
    <mergeCell ref="AB7:AC7"/>
    <mergeCell ref="AD7:AE7"/>
    <mergeCell ref="AF7:AG7"/>
    <mergeCell ref="AH7:AI7"/>
    <mergeCell ref="AJ7:AK7"/>
    <mergeCell ref="AL7:AM7"/>
    <mergeCell ref="AN7:AO7"/>
    <mergeCell ref="D7:E7"/>
    <mergeCell ref="F7:G7"/>
    <mergeCell ref="H7:I7"/>
    <mergeCell ref="J7:K7"/>
    <mergeCell ref="L7:M7"/>
    <mergeCell ref="N7:O7"/>
    <mergeCell ref="AT6:AU6"/>
    <mergeCell ref="AV6:AW6"/>
    <mergeCell ref="AX6:AY6"/>
    <mergeCell ref="AZ6:BA6"/>
    <mergeCell ref="AH6:AI6"/>
    <mergeCell ref="AJ6:AK6"/>
    <mergeCell ref="AL6:AM6"/>
    <mergeCell ref="AN6:AO6"/>
    <mergeCell ref="AP6:AQ6"/>
    <mergeCell ref="AR6:AS6"/>
    <mergeCell ref="V6:W6"/>
    <mergeCell ref="X6:Y6"/>
    <mergeCell ref="Z6:AA6"/>
    <mergeCell ref="AB6:AC6"/>
    <mergeCell ref="AD6:AE6"/>
    <mergeCell ref="BL5:BM5"/>
    <mergeCell ref="D6:E6"/>
    <mergeCell ref="F6:G6"/>
    <mergeCell ref="H6:I6"/>
    <mergeCell ref="J6:K6"/>
    <mergeCell ref="L6:M6"/>
    <mergeCell ref="N6:O6"/>
    <mergeCell ref="P6:Q6"/>
    <mergeCell ref="R6:S6"/>
    <mergeCell ref="T6:U6"/>
    <mergeCell ref="AZ5:BA5"/>
    <mergeCell ref="BB5:BC5"/>
    <mergeCell ref="BD5:BE5"/>
    <mergeCell ref="BF5:BG5"/>
    <mergeCell ref="BH5:BI5"/>
    <mergeCell ref="BJ5:BK5"/>
    <mergeCell ref="AX5:AY5"/>
    <mergeCell ref="AB5:AC5"/>
    <mergeCell ref="AD5:AE5"/>
    <mergeCell ref="AF5:AG5"/>
    <mergeCell ref="AH5:AI5"/>
    <mergeCell ref="AJ5:AK5"/>
    <mergeCell ref="AL5:AM5"/>
    <mergeCell ref="AN5:AO5"/>
    <mergeCell ref="AP5:AQ5"/>
    <mergeCell ref="AR5:AS5"/>
    <mergeCell ref="AT5:AU5"/>
    <mergeCell ref="AV5:AW5"/>
    <mergeCell ref="Z5:AA5"/>
    <mergeCell ref="D5:E5"/>
    <mergeCell ref="F5:G5"/>
    <mergeCell ref="H5:I5"/>
    <mergeCell ref="J5:K5"/>
    <mergeCell ref="L5:M5"/>
    <mergeCell ref="N5:O5"/>
    <mergeCell ref="P5:Q5"/>
    <mergeCell ref="R5:S5"/>
    <mergeCell ref="T5:U5"/>
    <mergeCell ref="V5:W5"/>
    <mergeCell ref="X5:Y5"/>
  </mergeCells>
  <conditionalFormatting sqref="A9:XFD9">
    <cfRule type="cellIs" dxfId="32" priority="3" operator="equal">
      <formula>"J"</formula>
    </cfRule>
    <cfRule type="cellIs" dxfId="31" priority="4" operator="equal">
      <formula>"A"</formula>
    </cfRule>
  </conditionalFormatting>
  <conditionalFormatting sqref="B10:BP60">
    <cfRule type="expression" dxfId="30" priority="2">
      <formula>MOD(ROW(),2)</formula>
    </cfRule>
  </conditionalFormatting>
  <conditionalFormatting sqref="BP10:BP57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{E5AF16F0-C8F0-41EA-9B77-F3B2938E3AF3}</x14:id>
        </ext>
      </extLst>
    </cfRule>
  </conditionalFormatting>
  <dataValidations count="1">
    <dataValidation type="whole" allowBlank="1" showInputMessage="1" showErrorMessage="1" error="Attention: Entier compris entre 0 et 12 !" sqref="D10:BM49" xr:uid="{1BFE5AA1-384D-4132-9AB9-B30B3F6352E7}">
      <formula1>0</formula1>
      <formula2>12</formula2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130" orientation="portrait" r:id="rId1"/>
  <headerFooter>
    <oddFooter>&amp;L&amp;D - &amp;T&amp;RMois de &amp;A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AF16F0-C8F0-41EA-9B77-F3B2938E3AF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BP10:BP57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5BB4-1275-4CF3-809B-698CAA0CDF84}">
  <sheetPr codeName="Feuil5"/>
  <dimension ref="B1:BQ57"/>
  <sheetViews>
    <sheetView showGridLines="0" showRowColHeaders="0" zoomScaleNormal="100" workbookViewId="0">
      <pane xSplit="3" ySplit="9" topLeftCell="AI10" activePane="bottomRight" state="frozen"/>
      <selection pane="bottomRight" activeCell="BN6" sqref="BN6:BP6"/>
      <selection pane="bottomLeft" activeCell="CC17" sqref="CC17"/>
      <selection pane="topRight" activeCell="CC17" sqref="CC17"/>
    </sheetView>
  </sheetViews>
  <sheetFormatPr defaultColWidth="11.42578125" defaultRowHeight="15"/>
  <cols>
    <col min="1" max="1" width="2.42578125" customWidth="1"/>
    <col min="2" max="2" width="32.140625" style="6" customWidth="1"/>
    <col min="3" max="3" width="22.42578125" style="6" customWidth="1"/>
    <col min="4" max="65" width="3.7109375" customWidth="1"/>
    <col min="66" max="66" width="4.42578125" bestFit="1" customWidth="1"/>
    <col min="67" max="67" width="4.28515625" customWidth="1"/>
    <col min="68" max="68" width="7.42578125" bestFit="1" customWidth="1"/>
    <col min="69" max="69" width="7.7109375" customWidth="1"/>
    <col min="70" max="105" width="3.7109375" customWidth="1"/>
  </cols>
  <sheetData>
    <row r="1" spans="2:69">
      <c r="H1" s="4" t="s">
        <v>0</v>
      </c>
      <c r="I1" t="s">
        <v>1</v>
      </c>
      <c r="N1" t="s">
        <v>2</v>
      </c>
      <c r="O1" t="s">
        <v>3</v>
      </c>
    </row>
    <row r="2" spans="2:69">
      <c r="H2" s="5" t="s">
        <v>4</v>
      </c>
      <c r="I2" t="s">
        <v>5</v>
      </c>
      <c r="N2" t="s">
        <v>6</v>
      </c>
      <c r="O2" t="s">
        <v>7</v>
      </c>
    </row>
    <row r="3" spans="2:69">
      <c r="N3" t="s">
        <v>8</v>
      </c>
      <c r="O3" t="s">
        <v>9</v>
      </c>
    </row>
    <row r="4" spans="2:69">
      <c r="B4" s="12"/>
      <c r="C4" s="12"/>
    </row>
    <row r="5" spans="2:69" s="2" customFormat="1">
      <c r="B5" s="13"/>
      <c r="C5" s="13"/>
      <c r="D5" s="45">
        <v>1</v>
      </c>
      <c r="E5" s="45"/>
      <c r="F5" s="45">
        <v>2</v>
      </c>
      <c r="G5" s="45"/>
      <c r="H5" s="45">
        <v>3</v>
      </c>
      <c r="I5" s="45"/>
      <c r="J5" s="45">
        <v>4</v>
      </c>
      <c r="K5" s="45"/>
      <c r="L5" s="45">
        <v>5</v>
      </c>
      <c r="M5" s="45"/>
      <c r="N5" s="45">
        <v>6</v>
      </c>
      <c r="O5" s="45"/>
      <c r="P5" s="45">
        <v>7</v>
      </c>
      <c r="Q5" s="45"/>
      <c r="R5" s="45">
        <v>8</v>
      </c>
      <c r="S5" s="45"/>
      <c r="T5" s="45">
        <v>9</v>
      </c>
      <c r="U5" s="45"/>
      <c r="V5" s="45">
        <v>10</v>
      </c>
      <c r="W5" s="45"/>
      <c r="X5" s="45">
        <v>11</v>
      </c>
      <c r="Y5" s="45"/>
      <c r="Z5" s="45">
        <v>12</v>
      </c>
      <c r="AA5" s="45"/>
      <c r="AB5" s="45">
        <v>13</v>
      </c>
      <c r="AC5" s="45"/>
      <c r="AD5" s="45">
        <v>14</v>
      </c>
      <c r="AE5" s="45"/>
      <c r="AF5" s="45">
        <v>15</v>
      </c>
      <c r="AG5" s="45"/>
      <c r="AH5" s="45">
        <v>16</v>
      </c>
      <c r="AI5" s="45"/>
      <c r="AJ5" s="45">
        <v>17</v>
      </c>
      <c r="AK5" s="45"/>
      <c r="AL5" s="45">
        <v>18</v>
      </c>
      <c r="AM5" s="45"/>
      <c r="AN5" s="45">
        <v>19</v>
      </c>
      <c r="AO5" s="45"/>
      <c r="AP5" s="45">
        <v>20</v>
      </c>
      <c r="AQ5" s="45"/>
      <c r="AR5" s="45">
        <v>21</v>
      </c>
      <c r="AS5" s="45"/>
      <c r="AT5" s="45">
        <v>22</v>
      </c>
      <c r="AU5" s="45"/>
      <c r="AV5" s="45">
        <v>23</v>
      </c>
      <c r="AW5" s="45"/>
      <c r="AX5" s="45">
        <v>24</v>
      </c>
      <c r="AY5" s="45"/>
      <c r="AZ5" s="45">
        <v>25</v>
      </c>
      <c r="BA5" s="45"/>
      <c r="BB5" s="45">
        <v>26</v>
      </c>
      <c r="BC5" s="45"/>
      <c r="BD5" s="45">
        <v>27</v>
      </c>
      <c r="BE5" s="45"/>
      <c r="BF5" s="45">
        <v>28</v>
      </c>
      <c r="BG5" s="45"/>
      <c r="BH5" s="45">
        <v>29</v>
      </c>
      <c r="BI5" s="45"/>
      <c r="BJ5" s="45">
        <v>30</v>
      </c>
      <c r="BK5" s="45"/>
      <c r="BL5" s="45">
        <v>31</v>
      </c>
      <c r="BM5" s="45"/>
      <c r="BQ5" s="6" t="s">
        <v>10</v>
      </c>
    </row>
    <row r="6" spans="2:69">
      <c r="D6" s="49" t="str">
        <f t="shared" ref="D6:BL6" si="0">TEXT(WEEKDAY(DATE($BQ$6,3,D$5),1),"jjj")</f>
        <v>dim.</v>
      </c>
      <c r="E6" s="49"/>
      <c r="F6" s="49" t="str">
        <f t="shared" si="0"/>
        <v>lun.</v>
      </c>
      <c r="G6" s="49"/>
      <c r="H6" s="49" t="str">
        <f t="shared" si="0"/>
        <v>mar.</v>
      </c>
      <c r="I6" s="49"/>
      <c r="J6" s="49" t="str">
        <f t="shared" si="0"/>
        <v>mer.</v>
      </c>
      <c r="K6" s="49"/>
      <c r="L6" s="49" t="str">
        <f t="shared" si="0"/>
        <v>jeu.</v>
      </c>
      <c r="M6" s="49"/>
      <c r="N6" s="49" t="str">
        <f t="shared" si="0"/>
        <v>ven.</v>
      </c>
      <c r="O6" s="49"/>
      <c r="P6" s="49" t="str">
        <f t="shared" si="0"/>
        <v>sam.</v>
      </c>
      <c r="Q6" s="49"/>
      <c r="R6" s="49" t="str">
        <f t="shared" si="0"/>
        <v>dim.</v>
      </c>
      <c r="S6" s="49"/>
      <c r="T6" s="49" t="str">
        <f t="shared" si="0"/>
        <v>lun.</v>
      </c>
      <c r="U6" s="49"/>
      <c r="V6" s="49" t="str">
        <f t="shared" si="0"/>
        <v>mar.</v>
      </c>
      <c r="W6" s="49"/>
      <c r="X6" s="49" t="str">
        <f t="shared" si="0"/>
        <v>mer.</v>
      </c>
      <c r="Y6" s="49"/>
      <c r="Z6" s="49" t="str">
        <f t="shared" si="0"/>
        <v>jeu.</v>
      </c>
      <c r="AA6" s="49"/>
      <c r="AB6" s="49" t="str">
        <f t="shared" si="0"/>
        <v>ven.</v>
      </c>
      <c r="AC6" s="49"/>
      <c r="AD6" s="49" t="str">
        <f t="shared" si="0"/>
        <v>sam.</v>
      </c>
      <c r="AE6" s="49"/>
      <c r="AF6" s="49" t="str">
        <f t="shared" si="0"/>
        <v>dim.</v>
      </c>
      <c r="AG6" s="49"/>
      <c r="AH6" s="49" t="str">
        <f t="shared" si="0"/>
        <v>lun.</v>
      </c>
      <c r="AI6" s="49"/>
      <c r="AJ6" s="49" t="str">
        <f t="shared" si="0"/>
        <v>mar.</v>
      </c>
      <c r="AK6" s="49"/>
      <c r="AL6" s="49" t="str">
        <f t="shared" si="0"/>
        <v>mer.</v>
      </c>
      <c r="AM6" s="49"/>
      <c r="AN6" s="49" t="str">
        <f t="shared" si="0"/>
        <v>jeu.</v>
      </c>
      <c r="AO6" s="49"/>
      <c r="AP6" s="49" t="str">
        <f t="shared" si="0"/>
        <v>ven.</v>
      </c>
      <c r="AQ6" s="49"/>
      <c r="AR6" s="49" t="str">
        <f t="shared" si="0"/>
        <v>sam.</v>
      </c>
      <c r="AS6" s="49"/>
      <c r="AT6" s="49" t="str">
        <f t="shared" si="0"/>
        <v>dim.</v>
      </c>
      <c r="AU6" s="49"/>
      <c r="AV6" s="49" t="str">
        <f t="shared" si="0"/>
        <v>lun.</v>
      </c>
      <c r="AW6" s="49"/>
      <c r="AX6" s="49" t="str">
        <f t="shared" si="0"/>
        <v>mar.</v>
      </c>
      <c r="AY6" s="49"/>
      <c r="AZ6" s="49" t="str">
        <f t="shared" si="0"/>
        <v>mer.</v>
      </c>
      <c r="BA6" s="49"/>
      <c r="BB6" s="49" t="str">
        <f t="shared" si="0"/>
        <v>jeu.</v>
      </c>
      <c r="BC6" s="49"/>
      <c r="BD6" s="49" t="str">
        <f t="shared" si="0"/>
        <v>ven.</v>
      </c>
      <c r="BE6" s="49"/>
      <c r="BF6" s="49" t="str">
        <f t="shared" si="0"/>
        <v>sam.</v>
      </c>
      <c r="BG6" s="49"/>
      <c r="BH6" s="49" t="str">
        <f t="shared" si="0"/>
        <v>dim.</v>
      </c>
      <c r="BI6" s="49"/>
      <c r="BJ6" s="49" t="str">
        <f t="shared" si="0"/>
        <v>lun.</v>
      </c>
      <c r="BK6" s="49"/>
      <c r="BL6" s="49" t="str">
        <f t="shared" si="0"/>
        <v>mar.</v>
      </c>
      <c r="BM6" s="49"/>
      <c r="BN6" s="14" t="str">
        <f>Janvier!BN6</f>
        <v>LIAGE 3</v>
      </c>
      <c r="BO6" s="14"/>
      <c r="BP6" s="14"/>
      <c r="BQ6" s="7">
        <f>Janvier!BQ6</f>
        <v>2020</v>
      </c>
    </row>
    <row r="7" spans="2:69">
      <c r="B7" s="30" t="s">
        <v>102</v>
      </c>
      <c r="C7" s="1"/>
      <c r="D7" s="47">
        <v>1</v>
      </c>
      <c r="E7" s="48"/>
      <c r="F7" s="47">
        <v>2</v>
      </c>
      <c r="G7" s="48"/>
      <c r="H7" s="47">
        <v>3</v>
      </c>
      <c r="I7" s="48"/>
      <c r="J7" s="47">
        <v>4</v>
      </c>
      <c r="K7" s="48"/>
      <c r="L7" s="47">
        <v>5</v>
      </c>
      <c r="M7" s="48"/>
      <c r="N7" s="47">
        <v>6</v>
      </c>
      <c r="O7" s="48"/>
      <c r="P7" s="47">
        <v>7</v>
      </c>
      <c r="Q7" s="48"/>
      <c r="R7" s="47">
        <v>8</v>
      </c>
      <c r="S7" s="48"/>
      <c r="T7" s="47">
        <v>9</v>
      </c>
      <c r="U7" s="48"/>
      <c r="V7" s="47">
        <v>10</v>
      </c>
      <c r="W7" s="48"/>
      <c r="X7" s="47">
        <v>11</v>
      </c>
      <c r="Y7" s="48"/>
      <c r="Z7" s="47">
        <v>12</v>
      </c>
      <c r="AA7" s="48"/>
      <c r="AB7" s="47">
        <v>13</v>
      </c>
      <c r="AC7" s="48"/>
      <c r="AD7" s="47">
        <v>14</v>
      </c>
      <c r="AE7" s="48"/>
      <c r="AF7" s="47">
        <v>15</v>
      </c>
      <c r="AG7" s="48"/>
      <c r="AH7" s="47">
        <v>16</v>
      </c>
      <c r="AI7" s="48"/>
      <c r="AJ7" s="47">
        <v>17</v>
      </c>
      <c r="AK7" s="48"/>
      <c r="AL7" s="47">
        <v>18</v>
      </c>
      <c r="AM7" s="48"/>
      <c r="AN7" s="47">
        <v>19</v>
      </c>
      <c r="AO7" s="48"/>
      <c r="AP7" s="47">
        <v>20</v>
      </c>
      <c r="AQ7" s="48"/>
      <c r="AR7" s="47">
        <v>21</v>
      </c>
      <c r="AS7" s="48"/>
      <c r="AT7" s="47">
        <v>22</v>
      </c>
      <c r="AU7" s="48"/>
      <c r="AV7" s="47">
        <v>23</v>
      </c>
      <c r="AW7" s="48"/>
      <c r="AX7" s="47">
        <v>24</v>
      </c>
      <c r="AY7" s="48"/>
      <c r="AZ7" s="47">
        <v>25</v>
      </c>
      <c r="BA7" s="48"/>
      <c r="BB7" s="47">
        <v>26</v>
      </c>
      <c r="BC7" s="48"/>
      <c r="BD7" s="47">
        <v>27</v>
      </c>
      <c r="BE7" s="48"/>
      <c r="BF7" s="47">
        <v>28</v>
      </c>
      <c r="BG7" s="48"/>
      <c r="BH7" s="47">
        <v>29</v>
      </c>
      <c r="BI7" s="48"/>
      <c r="BJ7" s="47">
        <v>30</v>
      </c>
      <c r="BK7" s="48"/>
      <c r="BL7" s="47">
        <v>31</v>
      </c>
      <c r="BM7" s="48"/>
    </row>
    <row r="8" spans="2:69" s="11" customFormat="1">
      <c r="B8" s="8"/>
      <c r="C8" s="8" t="s">
        <v>103</v>
      </c>
      <c r="D8" s="16"/>
      <c r="E8" s="17"/>
      <c r="F8" s="18"/>
      <c r="G8" s="17"/>
      <c r="H8" s="19"/>
      <c r="I8" s="20"/>
      <c r="J8" s="19"/>
      <c r="K8" s="20"/>
      <c r="L8" s="19"/>
      <c r="M8" s="20"/>
      <c r="N8" s="19"/>
      <c r="O8" s="20"/>
      <c r="P8" s="19"/>
      <c r="Q8" s="20"/>
      <c r="R8" s="19"/>
      <c r="S8" s="20"/>
      <c r="T8" s="19"/>
      <c r="U8" s="20"/>
      <c r="V8" s="19"/>
      <c r="W8" s="20"/>
      <c r="X8" s="19"/>
      <c r="Y8" s="20"/>
      <c r="Z8" s="19"/>
      <c r="AA8" s="20"/>
      <c r="AB8" s="19"/>
      <c r="AC8" s="20"/>
      <c r="AD8" s="19"/>
      <c r="AE8" s="20"/>
      <c r="AF8" s="19"/>
      <c r="AG8" s="20"/>
      <c r="AH8" s="19"/>
      <c r="AI8" s="20"/>
      <c r="AJ8" s="19"/>
      <c r="AK8" s="20"/>
      <c r="AL8" s="19"/>
      <c r="AM8" s="20"/>
      <c r="AN8" s="19"/>
      <c r="AO8" s="20"/>
      <c r="AP8" s="19"/>
      <c r="AQ8" s="20"/>
      <c r="AR8" s="19"/>
      <c r="AS8" s="20"/>
      <c r="AT8" s="19"/>
      <c r="AU8" s="20"/>
      <c r="AV8" s="19"/>
      <c r="AW8" s="20"/>
      <c r="AX8" s="19"/>
      <c r="AY8" s="20"/>
      <c r="AZ8" s="19"/>
      <c r="BA8" s="20"/>
      <c r="BB8" s="19"/>
      <c r="BC8" s="20"/>
      <c r="BD8" s="19"/>
      <c r="BE8" s="20"/>
      <c r="BF8" s="19"/>
      <c r="BG8" s="20"/>
      <c r="BH8" s="19"/>
      <c r="BI8" s="20"/>
      <c r="BJ8" s="19"/>
      <c r="BK8" s="20"/>
      <c r="BL8" s="19"/>
      <c r="BM8" s="21"/>
      <c r="BN8">
        <f>SUM(BN10:BN49)</f>
        <v>71</v>
      </c>
      <c r="BO8">
        <f>SUM(BO10:BO49)</f>
        <v>27</v>
      </c>
      <c r="BP8">
        <f>SUM(BP10:BP49)</f>
        <v>44</v>
      </c>
    </row>
    <row r="9" spans="2:69" s="3" customFormat="1" ht="12" customHeight="1">
      <c r="B9" s="23" t="s">
        <v>14</v>
      </c>
      <c r="C9" s="23" t="s">
        <v>15</v>
      </c>
      <c r="D9" s="24" t="str">
        <f>$H$1</f>
        <v>A</v>
      </c>
      <c r="E9" s="25" t="str">
        <f>$H$2</f>
        <v>J</v>
      </c>
      <c r="F9" s="26" t="str">
        <f>$H$1</f>
        <v>A</v>
      </c>
      <c r="G9" s="27" t="str">
        <f>$H$2</f>
        <v>J</v>
      </c>
      <c r="H9" s="28" t="str">
        <f>$H$1</f>
        <v>A</v>
      </c>
      <c r="I9" s="25" t="str">
        <f>$H$2</f>
        <v>J</v>
      </c>
      <c r="J9" s="26" t="str">
        <f>$H$1</f>
        <v>A</v>
      </c>
      <c r="K9" s="27" t="str">
        <f>$H$2</f>
        <v>J</v>
      </c>
      <c r="L9" s="28" t="str">
        <f>$H$1</f>
        <v>A</v>
      </c>
      <c r="M9" s="25" t="str">
        <f>$H$2</f>
        <v>J</v>
      </c>
      <c r="N9" s="26" t="str">
        <f>$H$1</f>
        <v>A</v>
      </c>
      <c r="O9" s="27" t="str">
        <f>$H$2</f>
        <v>J</v>
      </c>
      <c r="P9" s="28" t="str">
        <f>$H$1</f>
        <v>A</v>
      </c>
      <c r="Q9" s="25" t="str">
        <f>$H$2</f>
        <v>J</v>
      </c>
      <c r="R9" s="26" t="str">
        <f>$H$1</f>
        <v>A</v>
      </c>
      <c r="S9" s="27" t="str">
        <f>$H$2</f>
        <v>J</v>
      </c>
      <c r="T9" s="28" t="str">
        <f>$H$1</f>
        <v>A</v>
      </c>
      <c r="U9" s="25" t="str">
        <f>$H$2</f>
        <v>J</v>
      </c>
      <c r="V9" s="26" t="str">
        <f>$H$1</f>
        <v>A</v>
      </c>
      <c r="W9" s="27" t="str">
        <f>$H$2</f>
        <v>J</v>
      </c>
      <c r="X9" s="28" t="str">
        <f>$H$1</f>
        <v>A</v>
      </c>
      <c r="Y9" s="25" t="str">
        <f>$H$2</f>
        <v>J</v>
      </c>
      <c r="Z9" s="26" t="str">
        <f>$H$1</f>
        <v>A</v>
      </c>
      <c r="AA9" s="27" t="str">
        <f>$H$2</f>
        <v>J</v>
      </c>
      <c r="AB9" s="28" t="str">
        <f>$H$1</f>
        <v>A</v>
      </c>
      <c r="AC9" s="25" t="str">
        <f>$H$2</f>
        <v>J</v>
      </c>
      <c r="AD9" s="26" t="str">
        <f>$H$1</f>
        <v>A</v>
      </c>
      <c r="AE9" s="27" t="str">
        <f>$H$2</f>
        <v>J</v>
      </c>
      <c r="AF9" s="28" t="str">
        <f>$H$1</f>
        <v>A</v>
      </c>
      <c r="AG9" s="25" t="str">
        <f>$H$2</f>
        <v>J</v>
      </c>
      <c r="AH9" s="26" t="str">
        <f>$H$1</f>
        <v>A</v>
      </c>
      <c r="AI9" s="27" t="str">
        <f>$H$2</f>
        <v>J</v>
      </c>
      <c r="AJ9" s="28" t="str">
        <f>$H$1</f>
        <v>A</v>
      </c>
      <c r="AK9" s="25" t="str">
        <f>$H$2</f>
        <v>J</v>
      </c>
      <c r="AL9" s="26" t="str">
        <f>$H$1</f>
        <v>A</v>
      </c>
      <c r="AM9" s="27" t="str">
        <f>$H$2</f>
        <v>J</v>
      </c>
      <c r="AN9" s="28" t="str">
        <f>$H$1</f>
        <v>A</v>
      </c>
      <c r="AO9" s="25" t="str">
        <f>$H$2</f>
        <v>J</v>
      </c>
      <c r="AP9" s="26" t="str">
        <f>$H$1</f>
        <v>A</v>
      </c>
      <c r="AQ9" s="27" t="str">
        <f>$H$2</f>
        <v>J</v>
      </c>
      <c r="AR9" s="28" t="str">
        <f>$H$1</f>
        <v>A</v>
      </c>
      <c r="AS9" s="25" t="str">
        <f>$H$2</f>
        <v>J</v>
      </c>
      <c r="AT9" s="26" t="str">
        <f>$H$1</f>
        <v>A</v>
      </c>
      <c r="AU9" s="27" t="str">
        <f>$H$2</f>
        <v>J</v>
      </c>
      <c r="AV9" s="28" t="str">
        <f>$H$1</f>
        <v>A</v>
      </c>
      <c r="AW9" s="25" t="str">
        <f>$H$2</f>
        <v>J</v>
      </c>
      <c r="AX9" s="26" t="str">
        <f>$H$1</f>
        <v>A</v>
      </c>
      <c r="AY9" s="27" t="str">
        <f>$H$2</f>
        <v>J</v>
      </c>
      <c r="AZ9" s="28" t="str">
        <f>$H$1</f>
        <v>A</v>
      </c>
      <c r="BA9" s="25" t="str">
        <f>$H$2</f>
        <v>J</v>
      </c>
      <c r="BB9" s="26" t="str">
        <f>$H$1</f>
        <v>A</v>
      </c>
      <c r="BC9" s="27" t="str">
        <f>$H$2</f>
        <v>J</v>
      </c>
      <c r="BD9" s="28" t="str">
        <f>$H$1</f>
        <v>A</v>
      </c>
      <c r="BE9" s="25" t="str">
        <f>$H$2</f>
        <v>J</v>
      </c>
      <c r="BF9" s="26" t="str">
        <f>$H$1</f>
        <v>A</v>
      </c>
      <c r="BG9" s="27" t="str">
        <f>$H$2</f>
        <v>J</v>
      </c>
      <c r="BH9" s="28" t="str">
        <f>$H$1</f>
        <v>A</v>
      </c>
      <c r="BI9" s="25" t="str">
        <f>$H$2</f>
        <v>J</v>
      </c>
      <c r="BJ9" s="26" t="str">
        <f>$H$1</f>
        <v>A</v>
      </c>
      <c r="BK9" s="27" t="str">
        <f>$H$2</f>
        <v>J</v>
      </c>
      <c r="BL9" s="28" t="str">
        <f>$H$1</f>
        <v>A</v>
      </c>
      <c r="BM9" s="24" t="str">
        <f>$H$2</f>
        <v>J</v>
      </c>
      <c r="BN9" s="29" t="s">
        <v>2</v>
      </c>
      <c r="BO9" s="29" t="s">
        <v>6</v>
      </c>
      <c r="BP9" s="29" t="s">
        <v>8</v>
      </c>
    </row>
    <row r="10" spans="2:69">
      <c r="B10" s="6" t="s">
        <v>16</v>
      </c>
      <c r="C10" s="6" t="s">
        <v>17</v>
      </c>
      <c r="D10" s="10"/>
      <c r="E10" s="15"/>
      <c r="F10" s="9"/>
      <c r="G10" s="9"/>
      <c r="H10" s="15"/>
      <c r="I10" s="15"/>
      <c r="J10" s="9"/>
      <c r="K10" s="9"/>
      <c r="L10" s="15"/>
      <c r="M10" s="15"/>
      <c r="N10" s="9"/>
      <c r="O10" s="9"/>
      <c r="P10" s="15"/>
      <c r="Q10" s="15"/>
      <c r="R10" s="9"/>
      <c r="S10" s="9"/>
      <c r="T10" s="15"/>
      <c r="U10" s="15"/>
      <c r="V10" s="9"/>
      <c r="W10" s="9"/>
      <c r="X10" s="15"/>
      <c r="Y10" s="15"/>
      <c r="Z10" s="9"/>
      <c r="AA10" s="9"/>
      <c r="AB10" s="15"/>
      <c r="AC10" s="15"/>
      <c r="AD10" s="9"/>
      <c r="AE10" s="9"/>
      <c r="AF10" s="15"/>
      <c r="AG10" s="15"/>
      <c r="AH10" s="9"/>
      <c r="AI10" s="9"/>
      <c r="AJ10" s="15"/>
      <c r="AK10" s="15"/>
      <c r="AL10" s="9"/>
      <c r="AM10" s="9"/>
      <c r="AN10" s="15">
        <v>7</v>
      </c>
      <c r="AO10" s="15"/>
      <c r="AP10" s="9">
        <v>5</v>
      </c>
      <c r="AQ10" s="9">
        <v>1</v>
      </c>
      <c r="AR10" s="15"/>
      <c r="AS10" s="15"/>
      <c r="AT10" s="9"/>
      <c r="AU10" s="9"/>
      <c r="AV10" s="15"/>
      <c r="AW10" s="15"/>
      <c r="AX10" s="9">
        <v>8</v>
      </c>
      <c r="AY10" s="9"/>
      <c r="AZ10" s="15"/>
      <c r="BA10" s="15"/>
      <c r="BB10" s="15"/>
      <c r="BC10" s="9"/>
      <c r="BD10" s="15"/>
      <c r="BE10" s="15"/>
      <c r="BF10" s="15"/>
      <c r="BG10" s="9"/>
      <c r="BH10" s="15"/>
      <c r="BI10" s="15"/>
      <c r="BJ10" s="9"/>
      <c r="BK10" s="9"/>
      <c r="BL10" s="15"/>
      <c r="BM10" s="10"/>
      <c r="BN10">
        <f>SUMIFS($D10:$BM10,$D$9:$BM$9,$H$1)</f>
        <v>20</v>
      </c>
      <c r="BO10">
        <f>SUMIFS($D10:$BM10,$D$9:$BM$9,$H$2)</f>
        <v>1</v>
      </c>
      <c r="BP10">
        <f>BN10-BO10</f>
        <v>19</v>
      </c>
    </row>
    <row r="11" spans="2:69">
      <c r="B11" s="6" t="s">
        <v>18</v>
      </c>
      <c r="C11" s="6" t="s">
        <v>19</v>
      </c>
      <c r="D11" s="10">
        <v>8</v>
      </c>
      <c r="E11" s="15">
        <v>8</v>
      </c>
      <c r="F11" s="9">
        <v>7</v>
      </c>
      <c r="G11" s="9">
        <v>1</v>
      </c>
      <c r="H11" s="15">
        <v>10</v>
      </c>
      <c r="I11" s="15"/>
      <c r="J11" s="15"/>
      <c r="K11" s="9"/>
      <c r="L11" s="15"/>
      <c r="M11" s="15"/>
      <c r="N11" s="9"/>
      <c r="O11" s="9"/>
      <c r="P11" s="15"/>
      <c r="Q11" s="15"/>
      <c r="R11" s="15"/>
      <c r="S11" s="9"/>
      <c r="T11" s="15"/>
      <c r="U11" s="15"/>
      <c r="V11" s="9"/>
      <c r="W11" s="9"/>
      <c r="X11" s="15"/>
      <c r="Y11" s="15"/>
      <c r="Z11" s="9"/>
      <c r="AA11" s="9"/>
      <c r="AB11" s="15"/>
      <c r="AC11" s="15"/>
      <c r="AD11" s="9"/>
      <c r="AE11" s="9"/>
      <c r="AF11" s="15"/>
      <c r="AG11" s="15"/>
      <c r="AH11" s="9"/>
      <c r="AI11" s="9"/>
      <c r="AJ11" s="15"/>
      <c r="AK11" s="15"/>
      <c r="AL11" s="9"/>
      <c r="AM11" s="9"/>
      <c r="AN11" s="15"/>
      <c r="AO11" s="15"/>
      <c r="AP11" s="9"/>
      <c r="AQ11" s="9"/>
      <c r="AR11" s="15"/>
      <c r="AS11" s="15"/>
      <c r="AT11" s="9"/>
      <c r="AU11" s="9"/>
      <c r="AV11" s="15"/>
      <c r="AW11" s="15"/>
      <c r="AX11" s="9"/>
      <c r="AY11" s="9"/>
      <c r="AZ11" s="15"/>
      <c r="BA11" s="15"/>
      <c r="BB11" s="9"/>
      <c r="BC11" s="9"/>
      <c r="BD11" s="15"/>
      <c r="BE11" s="15"/>
      <c r="BF11" s="9"/>
      <c r="BG11" s="9"/>
      <c r="BH11" s="15"/>
      <c r="BI11" s="15"/>
      <c r="BJ11" s="9"/>
      <c r="BK11" s="9"/>
      <c r="BL11" s="15"/>
      <c r="BM11" s="10"/>
      <c r="BN11">
        <f>SUMIFS($D11:$BM11,$D$9:$BM$9,$H$1)</f>
        <v>25</v>
      </c>
      <c r="BO11">
        <f>SUMIFS($D11:$BM11,$D$9:$BM$9,$H$2)</f>
        <v>9</v>
      </c>
      <c r="BP11">
        <f>BN11-BO11</f>
        <v>16</v>
      </c>
    </row>
    <row r="12" spans="2:69">
      <c r="B12" s="6" t="s">
        <v>20</v>
      </c>
      <c r="C12" s="6" t="s">
        <v>21</v>
      </c>
      <c r="D12" s="10">
        <v>8</v>
      </c>
      <c r="E12" s="15">
        <v>2</v>
      </c>
      <c r="F12" s="9"/>
      <c r="G12" s="9"/>
      <c r="H12" s="15"/>
      <c r="I12" s="15">
        <v>6</v>
      </c>
      <c r="J12" s="9">
        <v>3</v>
      </c>
      <c r="K12" s="9"/>
      <c r="L12" s="15"/>
      <c r="M12" s="15"/>
      <c r="N12" s="9"/>
      <c r="O12" s="9"/>
      <c r="P12" s="15"/>
      <c r="Q12" s="15"/>
      <c r="R12" s="9"/>
      <c r="S12" s="9"/>
      <c r="T12" s="15">
        <v>7</v>
      </c>
      <c r="U12" s="15">
        <v>1</v>
      </c>
      <c r="V12" s="9"/>
      <c r="W12" s="9"/>
      <c r="X12" s="15">
        <v>8</v>
      </c>
      <c r="Y12" s="15">
        <v>8</v>
      </c>
      <c r="Z12" s="9"/>
      <c r="AA12" s="9"/>
      <c r="AB12" s="15"/>
      <c r="AC12" s="15"/>
      <c r="AD12" s="9"/>
      <c r="AE12" s="9"/>
      <c r="AF12" s="15"/>
      <c r="AG12" s="15"/>
      <c r="AH12" s="9"/>
      <c r="AI12" s="9"/>
      <c r="AJ12" s="15"/>
      <c r="AK12" s="15"/>
      <c r="AL12" s="9"/>
      <c r="AM12" s="9"/>
      <c r="AN12" s="15"/>
      <c r="AO12" s="15"/>
      <c r="AP12" s="9"/>
      <c r="AQ12" s="9"/>
      <c r="AR12" s="15"/>
      <c r="AS12" s="15"/>
      <c r="AT12" s="9"/>
      <c r="AU12" s="9"/>
      <c r="AV12" s="15"/>
      <c r="AW12" s="15"/>
      <c r="AX12" s="9"/>
      <c r="AY12" s="9"/>
      <c r="AZ12" s="15"/>
      <c r="BA12" s="15"/>
      <c r="BB12" s="9"/>
      <c r="BC12" s="9"/>
      <c r="BD12" s="15"/>
      <c r="BE12" s="15"/>
      <c r="BF12" s="9"/>
      <c r="BG12" s="9"/>
      <c r="BH12" s="15"/>
      <c r="BI12" s="15"/>
      <c r="BJ12" s="9"/>
      <c r="BK12" s="9"/>
      <c r="BL12" s="15"/>
      <c r="BM12" s="10"/>
      <c r="BN12">
        <f>SUMIFS($D12:$BM12,$D$9:$BM$9,$H$1)</f>
        <v>26</v>
      </c>
      <c r="BO12">
        <f>SUMIFS($D12:$BM12,$D$9:$BM$9,$H$2)</f>
        <v>17</v>
      </c>
      <c r="BP12">
        <f>BN12-BO12</f>
        <v>9</v>
      </c>
    </row>
    <row r="13" spans="2:69">
      <c r="B13" s="6" t="s">
        <v>22</v>
      </c>
      <c r="C13" s="6" t="s">
        <v>23</v>
      </c>
      <c r="D13" s="10"/>
      <c r="E13" s="10"/>
      <c r="H13" s="10"/>
      <c r="I13" s="10"/>
      <c r="L13" s="10"/>
      <c r="M13" s="10"/>
      <c r="P13" s="10"/>
      <c r="Q13" s="10"/>
      <c r="T13" s="10"/>
      <c r="U13" s="10"/>
      <c r="X13" s="10"/>
      <c r="Y13" s="10"/>
      <c r="AB13" s="10"/>
      <c r="AC13" s="10"/>
      <c r="AF13" s="10"/>
      <c r="AG13" s="10"/>
      <c r="AJ13" s="10"/>
      <c r="AK13" s="10"/>
      <c r="AN13" s="10"/>
      <c r="AO13" s="10"/>
      <c r="AR13" s="10"/>
      <c r="AS13" s="10"/>
      <c r="AV13" s="10"/>
      <c r="AW13" s="10"/>
      <c r="AZ13" s="10"/>
      <c r="BA13" s="10"/>
      <c r="BD13" s="10"/>
      <c r="BE13" s="10"/>
      <c r="BH13" s="10"/>
      <c r="BI13" s="10"/>
      <c r="BL13" s="10"/>
      <c r="BM13" s="10"/>
      <c r="BN13">
        <f>SUMIFS($D13:$BM13,$D$9:$BM$9,$H$1)</f>
        <v>0</v>
      </c>
      <c r="BO13">
        <f>SUMIFS($D13:$BM13,$D$9:$BM$9,$H$2)</f>
        <v>0</v>
      </c>
      <c r="BP13">
        <f>BN13-BO13</f>
        <v>0</v>
      </c>
    </row>
    <row r="14" spans="2:69">
      <c r="B14" s="6" t="s">
        <v>24</v>
      </c>
      <c r="C14" s="6" t="s">
        <v>25</v>
      </c>
      <c r="D14" s="15"/>
      <c r="E14" s="15"/>
      <c r="F14" s="9"/>
      <c r="G14" s="9"/>
      <c r="H14" s="15"/>
      <c r="I14" s="15"/>
      <c r="J14" s="9"/>
      <c r="K14" s="9"/>
      <c r="L14" s="15"/>
      <c r="M14" s="15"/>
      <c r="N14" s="9"/>
      <c r="O14" s="9"/>
      <c r="P14" s="15"/>
      <c r="Q14" s="15"/>
      <c r="R14" s="9"/>
      <c r="S14" s="9"/>
      <c r="T14" s="15"/>
      <c r="U14" s="15"/>
      <c r="V14" s="9"/>
      <c r="W14" s="9"/>
      <c r="X14" s="15"/>
      <c r="Y14" s="15"/>
      <c r="Z14" s="9"/>
      <c r="AA14" s="9"/>
      <c r="AB14" s="15"/>
      <c r="AC14" s="15"/>
      <c r="AD14" s="9"/>
      <c r="AE14" s="9"/>
      <c r="AF14" s="15"/>
      <c r="AG14" s="15"/>
      <c r="AH14" s="9"/>
      <c r="AI14" s="9"/>
      <c r="AJ14" s="15"/>
      <c r="AK14" s="15"/>
      <c r="AL14" s="9"/>
      <c r="AM14" s="9"/>
      <c r="AN14" s="15"/>
      <c r="AO14" s="15"/>
      <c r="AP14" s="9"/>
      <c r="AQ14" s="9"/>
      <c r="AR14" s="15"/>
      <c r="AS14" s="15"/>
      <c r="AT14" s="9"/>
      <c r="AU14" s="9"/>
      <c r="AV14" s="15"/>
      <c r="AW14" s="15"/>
      <c r="AX14" s="9"/>
      <c r="AY14" s="9"/>
      <c r="AZ14" s="15"/>
      <c r="BA14" s="15"/>
      <c r="BB14" s="9"/>
      <c r="BC14" s="9"/>
      <c r="BD14" s="15"/>
      <c r="BE14" s="15"/>
      <c r="BF14" s="9"/>
      <c r="BG14" s="9"/>
      <c r="BH14" s="15"/>
      <c r="BI14" s="15"/>
      <c r="BJ14" s="9"/>
      <c r="BK14" s="9"/>
      <c r="BL14" s="15"/>
      <c r="BM14" s="15"/>
      <c r="BN14">
        <f>SUMIFS($D14:$BM14,$D$9:$BM$9,$H$1)</f>
        <v>0</v>
      </c>
      <c r="BO14">
        <f>SUMIFS($D14:$BM14,$D$9:$BM$9,$H$2)</f>
        <v>0</v>
      </c>
      <c r="BP14">
        <f>BN14-BO14</f>
        <v>0</v>
      </c>
    </row>
    <row r="15" spans="2:69">
      <c r="B15" s="6" t="s">
        <v>26</v>
      </c>
      <c r="C15" s="6" t="s">
        <v>27</v>
      </c>
      <c r="D15" s="10"/>
      <c r="E15" s="15"/>
      <c r="F15" s="9"/>
      <c r="G15" s="9"/>
      <c r="H15" s="15"/>
      <c r="I15" s="15"/>
      <c r="J15" s="9"/>
      <c r="K15" s="9"/>
      <c r="L15" s="15"/>
      <c r="M15" s="15"/>
      <c r="N15" s="9"/>
      <c r="O15" s="9"/>
      <c r="P15" s="15"/>
      <c r="Q15" s="15"/>
      <c r="R15" s="9"/>
      <c r="S15" s="9"/>
      <c r="T15" s="15"/>
      <c r="U15" s="15"/>
      <c r="V15" s="9"/>
      <c r="W15" s="9"/>
      <c r="X15" s="15"/>
      <c r="Y15" s="15"/>
      <c r="Z15" s="9"/>
      <c r="AA15" s="9"/>
      <c r="AB15" s="15"/>
      <c r="AC15" s="15"/>
      <c r="AD15" s="9"/>
      <c r="AE15" s="9"/>
      <c r="AF15" s="15"/>
      <c r="AG15" s="15"/>
      <c r="AH15" s="9"/>
      <c r="AI15" s="9"/>
      <c r="AJ15" s="15"/>
      <c r="AK15" s="15"/>
      <c r="AL15" s="9"/>
      <c r="AM15" s="9"/>
      <c r="AN15" s="15"/>
      <c r="AO15" s="15"/>
      <c r="AP15" s="9"/>
      <c r="AQ15" s="9"/>
      <c r="AR15" s="15"/>
      <c r="AS15" s="15"/>
      <c r="AT15" s="9"/>
      <c r="AU15" s="9"/>
      <c r="AV15" s="15"/>
      <c r="AW15" s="15"/>
      <c r="AX15" s="9"/>
      <c r="AY15" s="9"/>
      <c r="AZ15" s="15"/>
      <c r="BA15" s="15"/>
      <c r="BB15" s="9"/>
      <c r="BC15" s="9"/>
      <c r="BD15" s="15"/>
      <c r="BE15" s="15"/>
      <c r="BF15" s="9"/>
      <c r="BG15" s="9"/>
      <c r="BH15" s="15"/>
      <c r="BI15" s="15"/>
      <c r="BJ15" s="9"/>
      <c r="BK15" s="9"/>
      <c r="BL15" s="15"/>
      <c r="BM15" s="10"/>
      <c r="BN15">
        <f>SUMIFS($D15:$BM15,$D$9:$BM$9,$H$1)</f>
        <v>0</v>
      </c>
      <c r="BO15">
        <f>SUMIFS($D15:$BM15,$D$9:$BM$9,$H$2)</f>
        <v>0</v>
      </c>
      <c r="BP15">
        <f>BN15-BO15</f>
        <v>0</v>
      </c>
    </row>
    <row r="16" spans="2:69">
      <c r="B16" s="6" t="s">
        <v>28</v>
      </c>
      <c r="C16" s="6" t="s">
        <v>27</v>
      </c>
      <c r="D16" s="10"/>
      <c r="E16" s="15"/>
      <c r="F16" s="9"/>
      <c r="G16" s="9"/>
      <c r="H16" s="15"/>
      <c r="I16" s="15"/>
      <c r="J16" s="9"/>
      <c r="K16" s="9"/>
      <c r="L16" s="15"/>
      <c r="M16" s="15"/>
      <c r="N16" s="9"/>
      <c r="O16" s="9"/>
      <c r="P16" s="15"/>
      <c r="Q16" s="15"/>
      <c r="R16" s="9"/>
      <c r="S16" s="9"/>
      <c r="T16" s="15"/>
      <c r="U16" s="15"/>
      <c r="V16" s="9"/>
      <c r="W16" s="9"/>
      <c r="X16" s="15"/>
      <c r="Y16" s="15"/>
      <c r="Z16" s="9"/>
      <c r="AA16" s="9"/>
      <c r="AB16" s="15"/>
      <c r="AC16" s="15"/>
      <c r="AD16" s="9"/>
      <c r="AE16" s="9"/>
      <c r="AF16" s="15"/>
      <c r="AG16" s="15"/>
      <c r="AH16" s="9"/>
      <c r="AI16" s="9"/>
      <c r="AJ16" s="15"/>
      <c r="AK16" s="15"/>
      <c r="AL16" s="9"/>
      <c r="AM16" s="9"/>
      <c r="AN16" s="15"/>
      <c r="AO16" s="15"/>
      <c r="AP16" s="9"/>
      <c r="AQ16" s="9"/>
      <c r="AR16" s="15"/>
      <c r="AS16" s="15"/>
      <c r="AT16" s="9"/>
      <c r="AU16" s="9"/>
      <c r="AV16" s="15"/>
      <c r="AW16" s="15"/>
      <c r="AX16" s="9"/>
      <c r="AY16" s="9"/>
      <c r="AZ16" s="15"/>
      <c r="BA16" s="15"/>
      <c r="BB16" s="9"/>
      <c r="BC16" s="9"/>
      <c r="BD16" s="15"/>
      <c r="BE16" s="15"/>
      <c r="BF16" s="9"/>
      <c r="BG16" s="9"/>
      <c r="BH16" s="15"/>
      <c r="BI16" s="15"/>
      <c r="BJ16" s="9"/>
      <c r="BK16" s="9"/>
      <c r="BL16" s="15"/>
      <c r="BM16" s="10"/>
      <c r="BN16">
        <f>SUMIFS($D16:$BM16,$D$9:$BM$9,$H$1)</f>
        <v>0</v>
      </c>
      <c r="BO16">
        <f>SUMIFS($D16:$BM16,$D$9:$BM$9,$H$2)</f>
        <v>0</v>
      </c>
      <c r="BP16">
        <f>BN16-BO16</f>
        <v>0</v>
      </c>
    </row>
    <row r="17" spans="2:68">
      <c r="B17" s="6" t="s">
        <v>29</v>
      </c>
      <c r="C17" s="6" t="s">
        <v>30</v>
      </c>
      <c r="D17" s="10"/>
      <c r="E17" s="10"/>
      <c r="H17" s="10"/>
      <c r="I17" s="10"/>
      <c r="L17" s="10"/>
      <c r="M17" s="10"/>
      <c r="P17" s="10"/>
      <c r="Q17" s="10"/>
      <c r="T17" s="10"/>
      <c r="U17" s="10"/>
      <c r="X17" s="10"/>
      <c r="Y17" s="10"/>
      <c r="AB17" s="10"/>
      <c r="AC17" s="10"/>
      <c r="AF17" s="10"/>
      <c r="AG17" s="10"/>
      <c r="AJ17" s="10"/>
      <c r="AK17" s="10"/>
      <c r="AN17" s="10"/>
      <c r="AO17" s="10"/>
      <c r="AR17" s="10"/>
      <c r="AS17" s="10"/>
      <c r="AV17" s="10"/>
      <c r="AW17" s="10"/>
      <c r="AZ17" s="10"/>
      <c r="BA17" s="10"/>
      <c r="BD17" s="10"/>
      <c r="BE17" s="10"/>
      <c r="BH17" s="10"/>
      <c r="BI17" s="10"/>
      <c r="BL17" s="10"/>
      <c r="BM17" s="10"/>
      <c r="BN17">
        <f>SUMIFS($D17:$BM17,$D$9:$BM$9,$H$1)</f>
        <v>0</v>
      </c>
      <c r="BO17">
        <f>SUMIFS($D17:$BM17,$D$9:$BM$9,$H$2)</f>
        <v>0</v>
      </c>
      <c r="BP17">
        <f>BN17-BO17</f>
        <v>0</v>
      </c>
    </row>
    <row r="18" spans="2:68">
      <c r="B18" s="6" t="s">
        <v>31</v>
      </c>
      <c r="C18" s="6" t="s">
        <v>32</v>
      </c>
      <c r="D18" s="10"/>
      <c r="E18" s="10"/>
      <c r="H18" s="10"/>
      <c r="I18" s="10"/>
      <c r="L18" s="10"/>
      <c r="M18" s="10"/>
      <c r="P18" s="10"/>
      <c r="Q18" s="10"/>
      <c r="T18" s="10"/>
      <c r="U18" s="10"/>
      <c r="X18" s="10"/>
      <c r="Y18" s="10"/>
      <c r="AB18" s="10"/>
      <c r="AC18" s="10"/>
      <c r="AF18" s="10"/>
      <c r="AG18" s="10"/>
      <c r="AJ18" s="10"/>
      <c r="AK18" s="10"/>
      <c r="AN18" s="10"/>
      <c r="AO18" s="10"/>
      <c r="AR18" s="10"/>
      <c r="AS18" s="10"/>
      <c r="AV18" s="10"/>
      <c r="AW18" s="10"/>
      <c r="AZ18" s="10"/>
      <c r="BA18" s="10"/>
      <c r="BD18" s="10"/>
      <c r="BE18" s="10"/>
      <c r="BH18" s="10"/>
      <c r="BI18" s="10"/>
      <c r="BL18" s="10"/>
      <c r="BM18" s="10"/>
      <c r="BN18">
        <f>SUMIFS($D18:$BM18,$D$9:$BM$9,$H$1)</f>
        <v>0</v>
      </c>
      <c r="BO18">
        <f>SUMIFS($D18:$BM18,$D$9:$BM$9,$H$2)</f>
        <v>0</v>
      </c>
      <c r="BP18">
        <f>BN18-BO18</f>
        <v>0</v>
      </c>
    </row>
    <row r="19" spans="2:68">
      <c r="B19" s="6" t="s">
        <v>33</v>
      </c>
      <c r="C19" s="6" t="s">
        <v>34</v>
      </c>
      <c r="D19" s="10"/>
      <c r="E19" s="10"/>
      <c r="H19" s="10"/>
      <c r="I19" s="10"/>
      <c r="L19" s="10"/>
      <c r="M19" s="10"/>
      <c r="P19" s="10"/>
      <c r="Q19" s="10"/>
      <c r="T19" s="10"/>
      <c r="U19" s="10"/>
      <c r="X19" s="10"/>
      <c r="Y19" s="10"/>
      <c r="AB19" s="10"/>
      <c r="AC19" s="10"/>
      <c r="AF19" s="10"/>
      <c r="AG19" s="10"/>
      <c r="AJ19" s="10"/>
      <c r="AK19" s="10"/>
      <c r="AN19" s="10"/>
      <c r="AO19" s="10"/>
      <c r="AR19" s="10"/>
      <c r="AS19" s="10"/>
      <c r="AV19" s="10"/>
      <c r="AW19" s="10"/>
      <c r="AZ19" s="10"/>
      <c r="BA19" s="10"/>
      <c r="BD19" s="10"/>
      <c r="BE19" s="10"/>
      <c r="BH19" s="10"/>
      <c r="BI19" s="10"/>
      <c r="BL19" s="10"/>
      <c r="BM19" s="10"/>
      <c r="BN19">
        <f>SUMIFS($D19:$BM19,$D$9:$BM$9,$H$1)</f>
        <v>0</v>
      </c>
      <c r="BO19">
        <f>SUMIFS($D19:$BM19,$D$9:$BM$9,$H$2)</f>
        <v>0</v>
      </c>
      <c r="BP19">
        <f>BN19-BO19</f>
        <v>0</v>
      </c>
    </row>
    <row r="20" spans="2:68">
      <c r="B20" s="6" t="s">
        <v>35</v>
      </c>
      <c r="C20" s="6" t="s">
        <v>36</v>
      </c>
      <c r="D20" s="10"/>
      <c r="E20" s="15"/>
      <c r="F20" s="9"/>
      <c r="G20" s="9"/>
      <c r="H20" s="15"/>
      <c r="I20" s="15"/>
      <c r="J20" s="9"/>
      <c r="K20" s="9"/>
      <c r="L20" s="15"/>
      <c r="M20" s="15"/>
      <c r="N20" s="9"/>
      <c r="O20" s="9"/>
      <c r="P20" s="15"/>
      <c r="Q20" s="15"/>
      <c r="R20" s="9"/>
      <c r="S20" s="9"/>
      <c r="T20" s="15"/>
      <c r="U20" s="15"/>
      <c r="V20" s="9"/>
      <c r="W20" s="9"/>
      <c r="X20" s="15"/>
      <c r="Y20" s="15"/>
      <c r="Z20" s="9"/>
      <c r="AA20" s="9"/>
      <c r="AB20" s="15"/>
      <c r="AC20" s="15"/>
      <c r="AD20" s="9"/>
      <c r="AE20" s="9"/>
      <c r="AF20" s="15"/>
      <c r="AG20" s="15"/>
      <c r="AH20" s="9"/>
      <c r="AI20" s="9"/>
      <c r="AJ20" s="15"/>
      <c r="AK20" s="15"/>
      <c r="AL20" s="9"/>
      <c r="AM20" s="9"/>
      <c r="AN20" s="15"/>
      <c r="AO20" s="15"/>
      <c r="AP20" s="9"/>
      <c r="AQ20" s="9"/>
      <c r="AR20" s="15"/>
      <c r="AS20" s="15"/>
      <c r="AT20" s="9"/>
      <c r="AU20" s="9"/>
      <c r="AV20" s="15"/>
      <c r="AW20" s="15"/>
      <c r="AX20" s="9"/>
      <c r="AY20" s="9"/>
      <c r="AZ20" s="15"/>
      <c r="BA20" s="15"/>
      <c r="BB20" s="9"/>
      <c r="BC20" s="9"/>
      <c r="BD20" s="15"/>
      <c r="BE20" s="15"/>
      <c r="BF20" s="9"/>
      <c r="BG20" s="9"/>
      <c r="BH20" s="15"/>
      <c r="BI20" s="15"/>
      <c r="BJ20" s="9"/>
      <c r="BK20" s="9"/>
      <c r="BL20" s="15"/>
      <c r="BM20" s="10"/>
      <c r="BN20">
        <f>SUMIFS($D20:$BM20,$D$9:$BM$9,$H$1)</f>
        <v>0</v>
      </c>
      <c r="BO20">
        <f>SUMIFS($D20:$BM20,$D$9:$BM$9,$H$2)</f>
        <v>0</v>
      </c>
      <c r="BP20">
        <f>BN20-BO20</f>
        <v>0</v>
      </c>
    </row>
    <row r="21" spans="2:68">
      <c r="B21" s="6" t="s">
        <v>37</v>
      </c>
      <c r="C21" s="6" t="s">
        <v>38</v>
      </c>
      <c r="D21" s="10"/>
      <c r="E21" s="10"/>
      <c r="H21" s="10"/>
      <c r="I21" s="10"/>
      <c r="L21" s="10"/>
      <c r="M21" s="10"/>
      <c r="P21" s="10"/>
      <c r="Q21" s="10"/>
      <c r="T21" s="10"/>
      <c r="U21" s="10"/>
      <c r="X21" s="10"/>
      <c r="Y21" s="10"/>
      <c r="AB21" s="10"/>
      <c r="AC21" s="10"/>
      <c r="AF21" s="10"/>
      <c r="AG21" s="10"/>
      <c r="AJ21" s="10"/>
      <c r="AK21" s="10"/>
      <c r="AN21" s="10"/>
      <c r="AO21" s="10"/>
      <c r="AR21" s="10"/>
      <c r="AS21" s="10"/>
      <c r="AV21" s="10"/>
      <c r="AW21" s="10"/>
      <c r="AZ21" s="10"/>
      <c r="BA21" s="10"/>
      <c r="BD21" s="10"/>
      <c r="BE21" s="10"/>
      <c r="BH21" s="10"/>
      <c r="BI21" s="10"/>
      <c r="BL21" s="10"/>
      <c r="BM21" s="10"/>
      <c r="BN21">
        <f>SUMIFS($D21:$BM21,$D$9:$BM$9,$H$1)</f>
        <v>0</v>
      </c>
      <c r="BO21">
        <f>SUMIFS($D21:$BM21,$D$9:$BM$9,$H$2)</f>
        <v>0</v>
      </c>
      <c r="BP21">
        <f>BN21-BO21</f>
        <v>0</v>
      </c>
    </row>
    <row r="22" spans="2:68">
      <c r="B22" s="6" t="s">
        <v>39</v>
      </c>
      <c r="C22" s="6" t="s">
        <v>40</v>
      </c>
      <c r="D22" s="10"/>
      <c r="E22" s="10"/>
      <c r="H22" s="10"/>
      <c r="I22" s="10"/>
      <c r="L22" s="10"/>
      <c r="M22" s="10"/>
      <c r="P22" s="10"/>
      <c r="Q22" s="10"/>
      <c r="T22" s="10"/>
      <c r="U22" s="10"/>
      <c r="X22" s="10"/>
      <c r="Y22" s="10"/>
      <c r="AB22" s="10"/>
      <c r="AC22" s="10"/>
      <c r="AF22" s="10"/>
      <c r="AG22" s="10"/>
      <c r="AJ22" s="10"/>
      <c r="AK22" s="10"/>
      <c r="AN22" s="10"/>
      <c r="AO22" s="10"/>
      <c r="AR22" s="10"/>
      <c r="AS22" s="10"/>
      <c r="AV22" s="10"/>
      <c r="AW22" s="10"/>
      <c r="AZ22" s="10"/>
      <c r="BA22" s="10"/>
      <c r="BD22" s="10"/>
      <c r="BE22" s="10"/>
      <c r="BH22" s="10"/>
      <c r="BI22" s="10"/>
      <c r="BL22" s="10"/>
      <c r="BM22" s="10"/>
      <c r="BN22">
        <f>SUMIFS($D22:$BM22,$D$9:$BM$9,$H$1)</f>
        <v>0</v>
      </c>
      <c r="BO22">
        <f>SUMIFS($D22:$BM22,$D$9:$BM$9,$H$2)</f>
        <v>0</v>
      </c>
      <c r="BP22">
        <f>BN22-BO22</f>
        <v>0</v>
      </c>
    </row>
    <row r="23" spans="2:68">
      <c r="B23" s="6" t="s">
        <v>41</v>
      </c>
      <c r="C23" s="6" t="s">
        <v>42</v>
      </c>
      <c r="D23" s="10"/>
      <c r="E23" s="10"/>
      <c r="H23" s="10"/>
      <c r="I23" s="10"/>
      <c r="L23" s="10"/>
      <c r="M23" s="10"/>
      <c r="P23" s="10"/>
      <c r="Q23" s="10"/>
      <c r="T23" s="10"/>
      <c r="U23" s="10"/>
      <c r="X23" s="10"/>
      <c r="Y23" s="10"/>
      <c r="AB23" s="10"/>
      <c r="AC23" s="10"/>
      <c r="AF23" s="10"/>
      <c r="AG23" s="10"/>
      <c r="AJ23" s="10"/>
      <c r="AK23" s="10"/>
      <c r="AN23" s="10"/>
      <c r="AO23" s="10"/>
      <c r="AR23" s="10"/>
      <c r="AS23" s="10"/>
      <c r="AV23" s="10"/>
      <c r="AW23" s="10"/>
      <c r="AZ23" s="10"/>
      <c r="BA23" s="10"/>
      <c r="BD23" s="10"/>
      <c r="BE23" s="10"/>
      <c r="BH23" s="10"/>
      <c r="BI23" s="10"/>
      <c r="BL23" s="10"/>
      <c r="BM23" s="10"/>
      <c r="BN23">
        <f>SUMIFS($D23:$BM23,$D$9:$BM$9,$H$1)</f>
        <v>0</v>
      </c>
      <c r="BO23">
        <f>SUMIFS($D23:$BM23,$D$9:$BM$9,$H$2)</f>
        <v>0</v>
      </c>
      <c r="BP23">
        <f>BN23-BO23</f>
        <v>0</v>
      </c>
    </row>
    <row r="24" spans="2:68">
      <c r="B24" s="6" t="s">
        <v>43</v>
      </c>
      <c r="C24" s="6" t="s">
        <v>44</v>
      </c>
      <c r="D24" s="10"/>
      <c r="E24" s="10"/>
      <c r="H24" s="10"/>
      <c r="I24" s="10"/>
      <c r="L24" s="10"/>
      <c r="M24" s="10"/>
      <c r="P24" s="10"/>
      <c r="Q24" s="10"/>
      <c r="T24" s="10"/>
      <c r="U24" s="10"/>
      <c r="X24" s="10"/>
      <c r="Y24" s="10"/>
      <c r="AB24" s="10"/>
      <c r="AC24" s="10"/>
      <c r="AF24" s="10"/>
      <c r="AG24" s="10"/>
      <c r="AJ24" s="10"/>
      <c r="AK24" s="10"/>
      <c r="AN24" s="10"/>
      <c r="AO24" s="10"/>
      <c r="AR24" s="10"/>
      <c r="AS24" s="10"/>
      <c r="AV24" s="10"/>
      <c r="AW24" s="10"/>
      <c r="AZ24" s="10"/>
      <c r="BA24" s="10"/>
      <c r="BD24" s="10"/>
      <c r="BE24" s="10"/>
      <c r="BH24" s="10"/>
      <c r="BI24" s="10"/>
      <c r="BL24" s="10"/>
      <c r="BM24" s="10"/>
      <c r="BN24">
        <f>SUMIFS($D24:$BM24,$D$9:$BM$9,$H$1)</f>
        <v>0</v>
      </c>
      <c r="BO24">
        <f>SUMIFS($D24:$BM24,$D$9:$BM$9,$H$2)</f>
        <v>0</v>
      </c>
      <c r="BP24">
        <f>BN24-BO24</f>
        <v>0</v>
      </c>
    </row>
    <row r="25" spans="2:68">
      <c r="B25" s="6" t="s">
        <v>45</v>
      </c>
      <c r="C25" s="6" t="s">
        <v>46</v>
      </c>
      <c r="D25" s="10"/>
      <c r="E25" s="10"/>
      <c r="H25" s="10"/>
      <c r="I25" s="10"/>
      <c r="L25" s="10"/>
      <c r="M25" s="10"/>
      <c r="P25" s="10"/>
      <c r="Q25" s="10"/>
      <c r="T25" s="10"/>
      <c r="U25" s="10"/>
      <c r="X25" s="10"/>
      <c r="Y25" s="10"/>
      <c r="AB25" s="10"/>
      <c r="AC25" s="10"/>
      <c r="AF25" s="10"/>
      <c r="AG25" s="10"/>
      <c r="AJ25" s="10"/>
      <c r="AK25" s="10"/>
      <c r="AN25" s="10"/>
      <c r="AO25" s="10"/>
      <c r="AR25" s="10"/>
      <c r="AS25" s="10"/>
      <c r="AV25" s="10"/>
      <c r="AW25" s="10"/>
      <c r="AZ25" s="10"/>
      <c r="BA25" s="10"/>
      <c r="BD25" s="10"/>
      <c r="BE25" s="10"/>
      <c r="BH25" s="10"/>
      <c r="BI25" s="10"/>
      <c r="BL25" s="10"/>
      <c r="BM25" s="10"/>
      <c r="BN25">
        <f>SUMIFS($D25:$BM25,$D$9:$BM$9,$H$1)</f>
        <v>0</v>
      </c>
      <c r="BO25">
        <f>SUMIFS($D25:$BM25,$D$9:$BM$9,$H$2)</f>
        <v>0</v>
      </c>
      <c r="BP25">
        <f>BN25-BO25</f>
        <v>0</v>
      </c>
    </row>
    <row r="26" spans="2:68">
      <c r="B26" s="6" t="s">
        <v>47</v>
      </c>
      <c r="C26" s="6" t="s">
        <v>48</v>
      </c>
      <c r="D26" s="10"/>
      <c r="E26" s="10"/>
      <c r="H26" s="10"/>
      <c r="I26" s="10"/>
      <c r="L26" s="10"/>
      <c r="M26" s="10"/>
      <c r="P26" s="10"/>
      <c r="Q26" s="10"/>
      <c r="T26" s="10"/>
      <c r="U26" s="10"/>
      <c r="X26" s="10"/>
      <c r="Y26" s="10"/>
      <c r="AB26" s="10"/>
      <c r="AC26" s="10"/>
      <c r="AF26" s="10"/>
      <c r="AG26" s="10"/>
      <c r="AJ26" s="10"/>
      <c r="AK26" s="10"/>
      <c r="AN26" s="10"/>
      <c r="AO26" s="10"/>
      <c r="AR26" s="10"/>
      <c r="AS26" s="10"/>
      <c r="AV26" s="10"/>
      <c r="AW26" s="10"/>
      <c r="AZ26" s="10"/>
      <c r="BA26" s="10"/>
      <c r="BD26" s="10"/>
      <c r="BE26" s="10"/>
      <c r="BH26" s="10"/>
      <c r="BI26" s="10"/>
      <c r="BL26" s="10"/>
      <c r="BM26" s="10"/>
      <c r="BN26">
        <f>SUMIFS($D26:$BM26,$D$9:$BM$9,$H$1)</f>
        <v>0</v>
      </c>
      <c r="BO26">
        <f>SUMIFS($D26:$BM26,$D$9:$BM$9,$H$2)</f>
        <v>0</v>
      </c>
      <c r="BP26">
        <f>BN26-BO26</f>
        <v>0</v>
      </c>
    </row>
    <row r="27" spans="2:68">
      <c r="B27" s="6" t="s">
        <v>49</v>
      </c>
      <c r="C27" s="6" t="s">
        <v>50</v>
      </c>
      <c r="D27" s="10"/>
      <c r="E27" s="10"/>
      <c r="H27" s="10"/>
      <c r="I27" s="10"/>
      <c r="L27" s="10"/>
      <c r="M27" s="10"/>
      <c r="P27" s="10"/>
      <c r="Q27" s="10"/>
      <c r="T27" s="10"/>
      <c r="U27" s="10"/>
      <c r="X27" s="10"/>
      <c r="Y27" s="10"/>
      <c r="AB27" s="10"/>
      <c r="AC27" s="10"/>
      <c r="AF27" s="10"/>
      <c r="AG27" s="10"/>
      <c r="AJ27" s="10"/>
      <c r="AK27" s="10"/>
      <c r="AN27" s="10"/>
      <c r="AO27" s="10"/>
      <c r="AR27" s="10"/>
      <c r="AS27" s="10"/>
      <c r="AV27" s="10"/>
      <c r="AW27" s="10"/>
      <c r="AZ27" s="10"/>
      <c r="BA27" s="10"/>
      <c r="BD27" s="10"/>
      <c r="BE27" s="10"/>
      <c r="BH27" s="10"/>
      <c r="BI27" s="10"/>
      <c r="BL27" s="10"/>
      <c r="BM27" s="10"/>
      <c r="BN27">
        <f>SUMIFS($D27:$BM27,$D$9:$BM$9,$H$1)</f>
        <v>0</v>
      </c>
      <c r="BO27">
        <f>SUMIFS($D27:$BM27,$D$9:$BM$9,$H$2)</f>
        <v>0</v>
      </c>
      <c r="BP27">
        <f>BN27-BO27</f>
        <v>0</v>
      </c>
    </row>
    <row r="28" spans="2:68">
      <c r="B28" s="6" t="s">
        <v>51</v>
      </c>
      <c r="C28" s="6" t="s">
        <v>50</v>
      </c>
      <c r="D28" s="10"/>
      <c r="E28" s="10"/>
      <c r="H28" s="10"/>
      <c r="I28" s="10"/>
      <c r="L28" s="10"/>
      <c r="M28" s="10"/>
      <c r="P28" s="10"/>
      <c r="Q28" s="10"/>
      <c r="T28" s="10"/>
      <c r="U28" s="10"/>
      <c r="X28" s="10"/>
      <c r="Y28" s="10"/>
      <c r="AB28" s="10"/>
      <c r="AC28" s="10"/>
      <c r="AF28" s="10"/>
      <c r="AG28" s="10"/>
      <c r="AJ28" s="10"/>
      <c r="AK28" s="10"/>
      <c r="AN28" s="10"/>
      <c r="AO28" s="10"/>
      <c r="AR28" s="10"/>
      <c r="AS28" s="10"/>
      <c r="AV28" s="10"/>
      <c r="AW28" s="10"/>
      <c r="AZ28" s="10"/>
      <c r="BA28" s="10"/>
      <c r="BD28" s="10"/>
      <c r="BE28" s="10"/>
      <c r="BH28" s="10"/>
      <c r="BI28" s="10"/>
      <c r="BL28" s="10"/>
      <c r="BM28" s="10"/>
      <c r="BN28">
        <f>SUMIFS($D28:$BM28,$D$9:$BM$9,$H$1)</f>
        <v>0</v>
      </c>
      <c r="BO28">
        <f>SUMIFS($D28:$BM28,$D$9:$BM$9,$H$2)</f>
        <v>0</v>
      </c>
      <c r="BP28">
        <f>BN28-BO28</f>
        <v>0</v>
      </c>
    </row>
    <row r="29" spans="2:68">
      <c r="B29" s="6" t="s">
        <v>52</v>
      </c>
      <c r="C29" s="6" t="s">
        <v>50</v>
      </c>
      <c r="D29" s="10"/>
      <c r="E29" s="15"/>
      <c r="F29" s="9"/>
      <c r="G29" s="9"/>
      <c r="H29" s="15"/>
      <c r="I29" s="15"/>
      <c r="J29" s="9"/>
      <c r="K29" s="9"/>
      <c r="L29" s="15"/>
      <c r="M29" s="15"/>
      <c r="N29" s="9"/>
      <c r="O29" s="9"/>
      <c r="P29" s="15"/>
      <c r="Q29" s="15"/>
      <c r="R29" s="9"/>
      <c r="S29" s="9"/>
      <c r="T29" s="15"/>
      <c r="U29" s="15"/>
      <c r="V29" s="9"/>
      <c r="W29" s="9"/>
      <c r="X29" s="15"/>
      <c r="Y29" s="15"/>
      <c r="Z29" s="9"/>
      <c r="AA29" s="9"/>
      <c r="AB29" s="15"/>
      <c r="AC29" s="15"/>
      <c r="AD29" s="9"/>
      <c r="AE29" s="9"/>
      <c r="AF29" s="15"/>
      <c r="AG29" s="15"/>
      <c r="AH29" s="9"/>
      <c r="AI29" s="9"/>
      <c r="AJ29" s="15"/>
      <c r="AK29" s="15"/>
      <c r="AL29" s="9"/>
      <c r="AM29" s="9"/>
      <c r="AN29" s="15"/>
      <c r="AO29" s="15"/>
      <c r="AP29" s="9"/>
      <c r="AQ29" s="9"/>
      <c r="AR29" s="15"/>
      <c r="AS29" s="15"/>
      <c r="AT29" s="9"/>
      <c r="AU29" s="9"/>
      <c r="AV29" s="15"/>
      <c r="AW29" s="15"/>
      <c r="AX29" s="9"/>
      <c r="AY29" s="9"/>
      <c r="AZ29" s="15"/>
      <c r="BA29" s="15"/>
      <c r="BB29" s="9"/>
      <c r="BC29" s="9"/>
      <c r="BD29" s="15"/>
      <c r="BE29" s="15"/>
      <c r="BF29" s="9"/>
      <c r="BG29" s="9"/>
      <c r="BH29" s="15"/>
      <c r="BI29" s="15"/>
      <c r="BJ29" s="9"/>
      <c r="BK29" s="9"/>
      <c r="BL29" s="15"/>
      <c r="BM29" s="10"/>
      <c r="BN29">
        <f>SUMIFS($D29:$BM29,$D$9:$BM$9,$H$1)</f>
        <v>0</v>
      </c>
      <c r="BO29">
        <f>SUMIFS($D29:$BM29,$D$9:$BM$9,$H$2)</f>
        <v>0</v>
      </c>
      <c r="BP29">
        <f>BN29-BO29</f>
        <v>0</v>
      </c>
    </row>
    <row r="30" spans="2:68">
      <c r="B30" s="6" t="s">
        <v>53</v>
      </c>
      <c r="C30" s="6" t="s">
        <v>54</v>
      </c>
      <c r="D30" s="10"/>
      <c r="E30" s="10"/>
      <c r="H30" s="10"/>
      <c r="I30" s="10"/>
      <c r="L30" s="10"/>
      <c r="M30" s="10"/>
      <c r="P30" s="10"/>
      <c r="Q30" s="10"/>
      <c r="T30" s="10"/>
      <c r="U30" s="10"/>
      <c r="X30" s="10"/>
      <c r="Y30" s="10"/>
      <c r="AB30" s="10"/>
      <c r="AC30" s="10"/>
      <c r="AF30" s="10"/>
      <c r="AG30" s="10"/>
      <c r="AJ30" s="10"/>
      <c r="AK30" s="10"/>
      <c r="AN30" s="10"/>
      <c r="AO30" s="10"/>
      <c r="AR30" s="10"/>
      <c r="AS30" s="10"/>
      <c r="AV30" s="10"/>
      <c r="AW30" s="10"/>
      <c r="AZ30" s="10"/>
      <c r="BA30" s="10"/>
      <c r="BD30" s="10"/>
      <c r="BE30" s="10"/>
      <c r="BH30" s="10"/>
      <c r="BI30" s="10"/>
      <c r="BL30" s="10"/>
      <c r="BM30" s="10"/>
      <c r="BN30">
        <f>SUMIFS($D30:$BM30,$D$9:$BM$9,$H$1)</f>
        <v>0</v>
      </c>
      <c r="BO30">
        <f>SUMIFS($D30:$BM30,$D$9:$BM$9,$H$2)</f>
        <v>0</v>
      </c>
      <c r="BP30">
        <f>BN30-BO30</f>
        <v>0</v>
      </c>
    </row>
    <row r="31" spans="2:68">
      <c r="B31" s="6" t="s">
        <v>55</v>
      </c>
      <c r="C31" s="6" t="s">
        <v>56</v>
      </c>
      <c r="D31" s="10"/>
      <c r="E31" s="10"/>
      <c r="H31" s="10"/>
      <c r="I31" s="10"/>
      <c r="L31" s="10"/>
      <c r="M31" s="10"/>
      <c r="P31" s="10"/>
      <c r="Q31" s="10"/>
      <c r="T31" s="10"/>
      <c r="U31" s="10"/>
      <c r="X31" s="10"/>
      <c r="Y31" s="10"/>
      <c r="AB31" s="10"/>
      <c r="AC31" s="10"/>
      <c r="AF31" s="10"/>
      <c r="AG31" s="10"/>
      <c r="AJ31" s="10"/>
      <c r="AK31" s="10"/>
      <c r="AN31" s="10"/>
      <c r="AO31" s="10"/>
      <c r="AR31" s="10"/>
      <c r="AS31" s="10"/>
      <c r="AV31" s="10"/>
      <c r="AW31" s="10"/>
      <c r="AZ31" s="10"/>
      <c r="BA31" s="10"/>
      <c r="BD31" s="10"/>
      <c r="BE31" s="10"/>
      <c r="BH31" s="10"/>
      <c r="BI31" s="10"/>
      <c r="BL31" s="10"/>
      <c r="BM31" s="10"/>
      <c r="BN31">
        <f>SUMIFS($D31:$BM31,$D$9:$BM$9,$H$1)</f>
        <v>0</v>
      </c>
      <c r="BO31">
        <f>SUMIFS($D31:$BM31,$D$9:$BM$9,$H$2)</f>
        <v>0</v>
      </c>
      <c r="BP31">
        <f>BN31-BO31</f>
        <v>0</v>
      </c>
    </row>
    <row r="32" spans="2:68">
      <c r="B32" s="6" t="s">
        <v>57</v>
      </c>
      <c r="C32" s="6" t="s">
        <v>56</v>
      </c>
      <c r="D32" s="10"/>
      <c r="E32" s="10"/>
      <c r="H32" s="10"/>
      <c r="I32" s="10"/>
      <c r="L32" s="10"/>
      <c r="M32" s="10"/>
      <c r="P32" s="10"/>
      <c r="Q32" s="10"/>
      <c r="T32" s="10"/>
      <c r="U32" s="10"/>
      <c r="X32" s="10"/>
      <c r="Y32" s="10"/>
      <c r="AB32" s="10"/>
      <c r="AC32" s="10"/>
      <c r="AF32" s="10"/>
      <c r="AG32" s="10"/>
      <c r="AJ32" s="10"/>
      <c r="AK32" s="10"/>
      <c r="AN32" s="10"/>
      <c r="AO32" s="10"/>
      <c r="AR32" s="10"/>
      <c r="AS32" s="10"/>
      <c r="AV32" s="10"/>
      <c r="AW32" s="10"/>
      <c r="AZ32" s="10"/>
      <c r="BA32" s="10"/>
      <c r="BD32" s="10"/>
      <c r="BE32" s="10"/>
      <c r="BH32" s="10"/>
      <c r="BI32" s="10"/>
      <c r="BL32" s="10"/>
      <c r="BM32" s="10"/>
      <c r="BN32">
        <f>SUMIFS($D32:$BM32,$D$9:$BM$9,$H$1)</f>
        <v>0</v>
      </c>
      <c r="BO32">
        <f>SUMIFS($D32:$BM32,$D$9:$BM$9,$H$2)</f>
        <v>0</v>
      </c>
      <c r="BP32">
        <f>BN32-BO32</f>
        <v>0</v>
      </c>
    </row>
    <row r="33" spans="2:68">
      <c r="B33" s="6" t="s">
        <v>58</v>
      </c>
      <c r="C33" s="6" t="s">
        <v>56</v>
      </c>
      <c r="D33" s="10"/>
      <c r="E33" s="10"/>
      <c r="H33" s="10"/>
      <c r="I33" s="10"/>
      <c r="L33" s="10"/>
      <c r="M33" s="10"/>
      <c r="P33" s="10"/>
      <c r="Q33" s="10"/>
      <c r="T33" s="10"/>
      <c r="U33" s="10"/>
      <c r="X33" s="10"/>
      <c r="Y33" s="10"/>
      <c r="AB33" s="10"/>
      <c r="AC33" s="10"/>
      <c r="AF33" s="10"/>
      <c r="AG33" s="10"/>
      <c r="AJ33" s="10"/>
      <c r="AK33" s="10"/>
      <c r="AN33" s="10"/>
      <c r="AO33" s="10"/>
      <c r="AR33" s="10"/>
      <c r="AS33" s="10"/>
      <c r="AV33" s="10"/>
      <c r="AW33" s="10"/>
      <c r="AZ33" s="10"/>
      <c r="BA33" s="10"/>
      <c r="BD33" s="10"/>
      <c r="BE33" s="10"/>
      <c r="BH33" s="10"/>
      <c r="BI33" s="10"/>
      <c r="BL33" s="10"/>
      <c r="BM33" s="10"/>
      <c r="BN33">
        <f>SUMIFS($D33:$BM33,$D$9:$BM$9,$H$1)</f>
        <v>0</v>
      </c>
      <c r="BO33">
        <f>SUMIFS($D33:$BM33,$D$9:$BM$9,$H$2)</f>
        <v>0</v>
      </c>
      <c r="BP33">
        <f>BN33-BO33</f>
        <v>0</v>
      </c>
    </row>
    <row r="34" spans="2:68">
      <c r="B34" s="6" t="s">
        <v>59</v>
      </c>
      <c r="C34" s="6" t="s">
        <v>56</v>
      </c>
      <c r="D34" s="10"/>
      <c r="E34" s="10"/>
      <c r="H34" s="10"/>
      <c r="I34" s="10"/>
      <c r="L34" s="10"/>
      <c r="M34" s="10"/>
      <c r="P34" s="10"/>
      <c r="Q34" s="10"/>
      <c r="T34" s="10"/>
      <c r="U34" s="10"/>
      <c r="X34" s="10"/>
      <c r="Y34" s="10"/>
      <c r="AB34" s="10"/>
      <c r="AC34" s="10"/>
      <c r="AF34" s="10"/>
      <c r="AG34" s="10"/>
      <c r="AJ34" s="10"/>
      <c r="AK34" s="10"/>
      <c r="AN34" s="10"/>
      <c r="AO34" s="10"/>
      <c r="AR34" s="10"/>
      <c r="AS34" s="10"/>
      <c r="AV34" s="10"/>
      <c r="AW34" s="10"/>
      <c r="AZ34" s="10"/>
      <c r="BA34" s="10"/>
      <c r="BD34" s="10"/>
      <c r="BE34" s="10"/>
      <c r="BH34" s="10"/>
      <c r="BI34" s="10"/>
      <c r="BL34" s="10"/>
      <c r="BM34" s="10"/>
      <c r="BN34">
        <f>SUMIFS($D34:$BM34,$D$9:$BM$9,$H$1)</f>
        <v>0</v>
      </c>
      <c r="BO34">
        <f>SUMIFS($D34:$BM34,$D$9:$BM$9,$H$2)</f>
        <v>0</v>
      </c>
      <c r="BP34">
        <f>BN34-BO34</f>
        <v>0</v>
      </c>
    </row>
    <row r="35" spans="2:68">
      <c r="B35" s="6" t="s">
        <v>60</v>
      </c>
      <c r="C35" s="6" t="s">
        <v>61</v>
      </c>
      <c r="D35" s="10"/>
      <c r="E35" s="10"/>
      <c r="H35" s="10"/>
      <c r="I35" s="10"/>
      <c r="L35" s="10"/>
      <c r="M35" s="10"/>
      <c r="P35" s="10"/>
      <c r="Q35" s="10"/>
      <c r="T35" s="10"/>
      <c r="U35" s="10"/>
      <c r="X35" s="10"/>
      <c r="Y35" s="10"/>
      <c r="AB35" s="10"/>
      <c r="AC35" s="10"/>
      <c r="AF35" s="10"/>
      <c r="AG35" s="10"/>
      <c r="AJ35" s="10"/>
      <c r="AK35" s="10"/>
      <c r="AN35" s="10"/>
      <c r="AO35" s="10"/>
      <c r="AR35" s="10"/>
      <c r="AS35" s="10"/>
      <c r="AV35" s="10"/>
      <c r="AW35" s="10"/>
      <c r="AZ35" s="10"/>
      <c r="BA35" s="10"/>
      <c r="BD35" s="10"/>
      <c r="BE35" s="10"/>
      <c r="BH35" s="10"/>
      <c r="BI35" s="10"/>
      <c r="BL35" s="10"/>
      <c r="BM35" s="10"/>
      <c r="BN35">
        <f>SUMIFS($D35:$BM35,$D$9:$BM$9,$H$1)</f>
        <v>0</v>
      </c>
      <c r="BO35">
        <f>SUMIFS($D35:$BM35,$D$9:$BM$9,$H$2)</f>
        <v>0</v>
      </c>
      <c r="BP35">
        <f>BN35-BO35</f>
        <v>0</v>
      </c>
    </row>
    <row r="36" spans="2:68">
      <c r="B36" s="6" t="s">
        <v>62</v>
      </c>
      <c r="C36" s="6" t="s">
        <v>63</v>
      </c>
      <c r="D36" s="10"/>
      <c r="E36" s="10"/>
      <c r="H36" s="10"/>
      <c r="I36" s="10"/>
      <c r="L36" s="10"/>
      <c r="M36" s="10"/>
      <c r="P36" s="10"/>
      <c r="Q36" s="10"/>
      <c r="T36" s="10"/>
      <c r="U36" s="10"/>
      <c r="X36" s="10"/>
      <c r="Y36" s="10"/>
      <c r="AB36" s="10"/>
      <c r="AC36" s="10"/>
      <c r="AF36" s="10"/>
      <c r="AG36" s="10"/>
      <c r="AJ36" s="10"/>
      <c r="AK36" s="10"/>
      <c r="AN36" s="10"/>
      <c r="AO36" s="10"/>
      <c r="AR36" s="10"/>
      <c r="AS36" s="10"/>
      <c r="AV36" s="10"/>
      <c r="AW36" s="10"/>
      <c r="AZ36" s="10"/>
      <c r="BA36" s="10"/>
      <c r="BD36" s="10"/>
      <c r="BE36" s="10"/>
      <c r="BH36" s="10"/>
      <c r="BI36" s="10"/>
      <c r="BL36" s="10"/>
      <c r="BM36" s="10"/>
      <c r="BN36">
        <f>SUMIFS($D36:$BM36,$D$9:$BM$9,$H$1)</f>
        <v>0</v>
      </c>
      <c r="BO36">
        <f>SUMIFS($D36:$BM36,$D$9:$BM$9,$H$2)</f>
        <v>0</v>
      </c>
      <c r="BP36">
        <f>BN36-BO36</f>
        <v>0</v>
      </c>
    </row>
    <row r="37" spans="2:68">
      <c r="B37" s="6" t="s">
        <v>64</v>
      </c>
      <c r="C37" s="6" t="s">
        <v>63</v>
      </c>
      <c r="D37" s="10"/>
      <c r="E37" s="10"/>
      <c r="H37" s="10"/>
      <c r="I37" s="10"/>
      <c r="L37" s="10"/>
      <c r="M37" s="10"/>
      <c r="P37" s="10"/>
      <c r="Q37" s="10"/>
      <c r="T37" s="10"/>
      <c r="U37" s="10"/>
      <c r="X37" s="10"/>
      <c r="Y37" s="10"/>
      <c r="AB37" s="10"/>
      <c r="AC37" s="10"/>
      <c r="AF37" s="10"/>
      <c r="AG37" s="10"/>
      <c r="AJ37" s="10"/>
      <c r="AK37" s="10"/>
      <c r="AN37" s="10"/>
      <c r="AO37" s="10"/>
      <c r="AR37" s="10"/>
      <c r="AS37" s="10"/>
      <c r="AV37" s="10"/>
      <c r="AW37" s="10"/>
      <c r="AZ37" s="10"/>
      <c r="BA37" s="10"/>
      <c r="BD37" s="10"/>
      <c r="BE37" s="10"/>
      <c r="BH37" s="10"/>
      <c r="BI37" s="10"/>
      <c r="BL37" s="10"/>
      <c r="BM37" s="10"/>
      <c r="BN37">
        <f>SUMIFS($D37:$BM37,$D$9:$BM$9,$H$1)</f>
        <v>0</v>
      </c>
      <c r="BO37">
        <f>SUMIFS($D37:$BM37,$D$9:$BM$9,$H$2)</f>
        <v>0</v>
      </c>
      <c r="BP37">
        <f>BN37-BO37</f>
        <v>0</v>
      </c>
    </row>
    <row r="38" spans="2:68">
      <c r="B38" s="6" t="s">
        <v>65</v>
      </c>
      <c r="C38" s="6" t="s">
        <v>66</v>
      </c>
      <c r="D38" s="10"/>
      <c r="E38" s="10"/>
      <c r="H38" s="10"/>
      <c r="I38" s="10"/>
      <c r="L38" s="10"/>
      <c r="M38" s="10"/>
      <c r="P38" s="10"/>
      <c r="Q38" s="10"/>
      <c r="T38" s="10"/>
      <c r="U38" s="10"/>
      <c r="X38" s="10"/>
      <c r="Y38" s="10"/>
      <c r="AB38" s="10"/>
      <c r="AC38" s="10"/>
      <c r="AF38" s="10"/>
      <c r="AG38" s="10"/>
      <c r="AJ38" s="10"/>
      <c r="AK38" s="10"/>
      <c r="AN38" s="10"/>
      <c r="AO38" s="10"/>
      <c r="AR38" s="10"/>
      <c r="AS38" s="10"/>
      <c r="AV38" s="10"/>
      <c r="AW38" s="10"/>
      <c r="AZ38" s="10"/>
      <c r="BA38" s="10"/>
      <c r="BD38" s="10"/>
      <c r="BE38" s="10"/>
      <c r="BH38" s="10"/>
      <c r="BI38" s="10"/>
      <c r="BL38" s="10"/>
      <c r="BM38" s="10"/>
      <c r="BN38">
        <f>SUMIFS($D38:$BM38,$D$9:$BM$9,$H$1)</f>
        <v>0</v>
      </c>
      <c r="BO38">
        <f>SUMIFS($D38:$BM38,$D$9:$BM$9,$H$2)</f>
        <v>0</v>
      </c>
      <c r="BP38">
        <f>BN38-BO38</f>
        <v>0</v>
      </c>
    </row>
    <row r="39" spans="2:68">
      <c r="B39" s="6" t="s">
        <v>67</v>
      </c>
      <c r="C39" s="6" t="s">
        <v>68</v>
      </c>
      <c r="D39" s="10"/>
      <c r="E39" s="10"/>
      <c r="H39" s="10"/>
      <c r="I39" s="10"/>
      <c r="L39" s="10"/>
      <c r="M39" s="10"/>
      <c r="P39" s="10"/>
      <c r="Q39" s="10"/>
      <c r="T39" s="10"/>
      <c r="U39" s="10"/>
      <c r="X39" s="10"/>
      <c r="Y39" s="10"/>
      <c r="AB39" s="10"/>
      <c r="AC39" s="10"/>
      <c r="AF39" s="10"/>
      <c r="AG39" s="10"/>
      <c r="AJ39" s="10"/>
      <c r="AK39" s="10"/>
      <c r="AN39" s="10"/>
      <c r="AO39" s="10"/>
      <c r="AR39" s="10"/>
      <c r="AS39" s="10"/>
      <c r="AV39" s="10"/>
      <c r="AW39" s="10"/>
      <c r="AZ39" s="10"/>
      <c r="BA39" s="10"/>
      <c r="BD39" s="10"/>
      <c r="BE39" s="10"/>
      <c r="BH39" s="10"/>
      <c r="BI39" s="10"/>
      <c r="BL39" s="10"/>
      <c r="BM39" s="10"/>
      <c r="BN39">
        <f>SUMIFS($D39:$BM39,$D$9:$BM$9,$H$1)</f>
        <v>0</v>
      </c>
      <c r="BO39">
        <f>SUMIFS($D39:$BM39,$D$9:$BM$9,$H$2)</f>
        <v>0</v>
      </c>
      <c r="BP39">
        <f>BN39-BO39</f>
        <v>0</v>
      </c>
    </row>
    <row r="40" spans="2:68">
      <c r="B40" s="6" t="s">
        <v>69</v>
      </c>
      <c r="C40" s="6" t="s">
        <v>70</v>
      </c>
      <c r="D40" s="10"/>
      <c r="E40" s="10"/>
      <c r="H40" s="10"/>
      <c r="I40" s="10"/>
      <c r="L40" s="10"/>
      <c r="M40" s="10"/>
      <c r="P40" s="10"/>
      <c r="Q40" s="10"/>
      <c r="T40" s="10"/>
      <c r="U40" s="10"/>
      <c r="X40" s="10"/>
      <c r="Y40" s="10"/>
      <c r="AB40" s="10"/>
      <c r="AC40" s="10"/>
      <c r="AF40" s="10"/>
      <c r="AG40" s="10"/>
      <c r="AJ40" s="10"/>
      <c r="AK40" s="10"/>
      <c r="AN40" s="10"/>
      <c r="AO40" s="10"/>
      <c r="AR40" s="10"/>
      <c r="AS40" s="10"/>
      <c r="AV40" s="10"/>
      <c r="AW40" s="10"/>
      <c r="AZ40" s="10"/>
      <c r="BA40" s="10"/>
      <c r="BD40" s="10"/>
      <c r="BE40" s="10"/>
      <c r="BH40" s="10"/>
      <c r="BI40" s="10"/>
      <c r="BL40" s="10"/>
      <c r="BM40" s="10"/>
      <c r="BN40">
        <f>SUMIFS($D40:$BM40,$D$9:$BM$9,$H$1)</f>
        <v>0</v>
      </c>
      <c r="BO40">
        <f>SUMIFS($D40:$BM40,$D$9:$BM$9,$H$2)</f>
        <v>0</v>
      </c>
      <c r="BP40">
        <f>BN40-BO40</f>
        <v>0</v>
      </c>
    </row>
    <row r="41" spans="2:68">
      <c r="B41" s="6" t="s">
        <v>71</v>
      </c>
      <c r="C41" s="6" t="s">
        <v>72</v>
      </c>
      <c r="D41" s="10"/>
      <c r="E41" s="10"/>
      <c r="H41" s="10"/>
      <c r="I41" s="10"/>
      <c r="L41" s="10"/>
      <c r="M41" s="10"/>
      <c r="P41" s="10"/>
      <c r="Q41" s="10"/>
      <c r="T41" s="10"/>
      <c r="U41" s="10"/>
      <c r="X41" s="10"/>
      <c r="Y41" s="10"/>
      <c r="AB41" s="10"/>
      <c r="AC41" s="10"/>
      <c r="AF41" s="10"/>
      <c r="AG41" s="10"/>
      <c r="AJ41" s="10"/>
      <c r="AK41" s="10"/>
      <c r="AN41" s="10"/>
      <c r="AO41" s="10"/>
      <c r="AR41" s="10"/>
      <c r="AS41" s="10"/>
      <c r="AV41" s="10"/>
      <c r="AW41" s="10"/>
      <c r="AZ41" s="10"/>
      <c r="BA41" s="10"/>
      <c r="BD41" s="10"/>
      <c r="BE41" s="10"/>
      <c r="BH41" s="10"/>
      <c r="BI41" s="10"/>
      <c r="BL41" s="10"/>
      <c r="BM41" s="10"/>
      <c r="BN41">
        <f>SUMIFS($D41:$BM41,$D$9:$BM$9,$H$1)</f>
        <v>0</v>
      </c>
      <c r="BO41">
        <f>SUMIFS($D41:$BM41,$D$9:$BM$9,$H$2)</f>
        <v>0</v>
      </c>
      <c r="BP41">
        <f>BN41-BO41</f>
        <v>0</v>
      </c>
    </row>
    <row r="42" spans="2:68">
      <c r="B42" s="6" t="s">
        <v>73</v>
      </c>
      <c r="C42" s="6" t="s">
        <v>74</v>
      </c>
      <c r="D42" s="10"/>
      <c r="E42" s="10"/>
      <c r="H42" s="10"/>
      <c r="I42" s="10"/>
      <c r="L42" s="10"/>
      <c r="M42" s="10"/>
      <c r="P42" s="10"/>
      <c r="Q42" s="10"/>
      <c r="T42" s="10"/>
      <c r="U42" s="10"/>
      <c r="X42" s="10"/>
      <c r="Y42" s="10"/>
      <c r="AB42" s="10"/>
      <c r="AC42" s="10"/>
      <c r="AF42" s="10"/>
      <c r="AG42" s="10"/>
      <c r="AJ42" s="10"/>
      <c r="AK42" s="10"/>
      <c r="AN42" s="10"/>
      <c r="AO42" s="10"/>
      <c r="AR42" s="10"/>
      <c r="AS42" s="10"/>
      <c r="AV42" s="10"/>
      <c r="AW42" s="10"/>
      <c r="AZ42" s="10"/>
      <c r="BA42" s="10"/>
      <c r="BD42" s="10"/>
      <c r="BE42" s="10"/>
      <c r="BH42" s="10"/>
      <c r="BI42" s="10"/>
      <c r="BL42" s="10"/>
      <c r="BM42" s="10"/>
      <c r="BN42">
        <f>SUMIFS($D42:$BM42,$D$9:$BM$9,$H$1)</f>
        <v>0</v>
      </c>
      <c r="BO42">
        <f>SUMIFS($D42:$BM42,$D$9:$BM$9,$H$2)</f>
        <v>0</v>
      </c>
      <c r="BP42">
        <f>BN42-BO42</f>
        <v>0</v>
      </c>
    </row>
    <row r="43" spans="2:68">
      <c r="B43" s="6" t="s">
        <v>75</v>
      </c>
      <c r="C43" s="6" t="s">
        <v>76</v>
      </c>
      <c r="D43" s="10"/>
      <c r="E43" s="10"/>
      <c r="H43" s="10"/>
      <c r="I43" s="10"/>
      <c r="L43" s="10"/>
      <c r="M43" s="10"/>
      <c r="P43" s="10"/>
      <c r="Q43" s="10"/>
      <c r="T43" s="10"/>
      <c r="U43" s="10"/>
      <c r="X43" s="10"/>
      <c r="Y43" s="10"/>
      <c r="AB43" s="10"/>
      <c r="AC43" s="10"/>
      <c r="AF43" s="10"/>
      <c r="AG43" s="10"/>
      <c r="AJ43" s="10"/>
      <c r="AK43" s="10"/>
      <c r="AN43" s="10"/>
      <c r="AO43" s="10"/>
      <c r="AR43" s="10"/>
      <c r="AS43" s="10"/>
      <c r="AV43" s="10"/>
      <c r="AW43" s="10"/>
      <c r="AZ43" s="10"/>
      <c r="BA43" s="10"/>
      <c r="BD43" s="10"/>
      <c r="BE43" s="10"/>
      <c r="BH43" s="10"/>
      <c r="BI43" s="10"/>
      <c r="BL43" s="10"/>
      <c r="BM43" s="10"/>
      <c r="BN43">
        <f>SUMIFS($D43:$BM43,$D$9:$BM$9,$H$1)</f>
        <v>0</v>
      </c>
      <c r="BO43">
        <f>SUMIFS($D43:$BM43,$D$9:$BM$9,$H$2)</f>
        <v>0</v>
      </c>
      <c r="BP43">
        <f>BN43-BO43</f>
        <v>0</v>
      </c>
    </row>
    <row r="44" spans="2:68">
      <c r="B44" s="6" t="s">
        <v>77</v>
      </c>
      <c r="C44" s="6" t="s">
        <v>78</v>
      </c>
      <c r="D44" s="10"/>
      <c r="E44" s="10"/>
      <c r="H44" s="10"/>
      <c r="I44" s="10"/>
      <c r="L44" s="10"/>
      <c r="M44" s="10"/>
      <c r="P44" s="10"/>
      <c r="Q44" s="10"/>
      <c r="T44" s="10"/>
      <c r="U44" s="10"/>
      <c r="X44" s="10"/>
      <c r="Y44" s="10"/>
      <c r="AB44" s="10"/>
      <c r="AC44" s="10"/>
      <c r="AF44" s="10"/>
      <c r="AG44" s="10"/>
      <c r="AJ44" s="10"/>
      <c r="AK44" s="10"/>
      <c r="AN44" s="10"/>
      <c r="AO44" s="10"/>
      <c r="AR44" s="10"/>
      <c r="AS44" s="10"/>
      <c r="AV44" s="10"/>
      <c r="AW44" s="10"/>
      <c r="AZ44" s="10"/>
      <c r="BA44" s="10"/>
      <c r="BD44" s="10"/>
      <c r="BE44" s="10"/>
      <c r="BH44" s="10"/>
      <c r="BI44" s="10"/>
      <c r="BL44" s="10"/>
      <c r="BM44" s="10"/>
      <c r="BN44">
        <f>SUMIFS($D44:$BM44,$D$9:$BM$9,$H$1)</f>
        <v>0</v>
      </c>
      <c r="BO44">
        <f>SUMIFS($D44:$BM44,$D$9:$BM$9,$H$2)</f>
        <v>0</v>
      </c>
      <c r="BP44">
        <f>BN44-BO44</f>
        <v>0</v>
      </c>
    </row>
    <row r="45" spans="2:68">
      <c r="B45" s="6" t="s">
        <v>79</v>
      </c>
      <c r="C45" s="6" t="s">
        <v>78</v>
      </c>
      <c r="D45" s="10"/>
      <c r="E45" s="10"/>
      <c r="H45" s="10"/>
      <c r="I45" s="10"/>
      <c r="L45" s="10"/>
      <c r="M45" s="10"/>
      <c r="P45" s="10"/>
      <c r="Q45" s="10"/>
      <c r="T45" s="10"/>
      <c r="U45" s="10"/>
      <c r="X45" s="10"/>
      <c r="Y45" s="10"/>
      <c r="AB45" s="10"/>
      <c r="AC45" s="10"/>
      <c r="AF45" s="10"/>
      <c r="AG45" s="10"/>
      <c r="AJ45" s="10"/>
      <c r="AK45" s="10"/>
      <c r="AN45" s="10"/>
      <c r="AO45" s="10"/>
      <c r="AR45" s="10"/>
      <c r="AS45" s="10"/>
      <c r="AV45" s="10"/>
      <c r="AW45" s="10"/>
      <c r="AZ45" s="10"/>
      <c r="BA45" s="10"/>
      <c r="BD45" s="10"/>
      <c r="BE45" s="10"/>
      <c r="BH45" s="10"/>
      <c r="BI45" s="10"/>
      <c r="BL45" s="10"/>
      <c r="BM45" s="10"/>
      <c r="BN45">
        <f>SUMIFS($D45:$BM45,$D$9:$BM$9,$H$1)</f>
        <v>0</v>
      </c>
      <c r="BO45">
        <f>SUMIFS($D45:$BM45,$D$9:$BM$9,$H$2)</f>
        <v>0</v>
      </c>
      <c r="BP45">
        <f>BN45-BO45</f>
        <v>0</v>
      </c>
    </row>
    <row r="46" spans="2:68">
      <c r="B46" s="6" t="s">
        <v>80</v>
      </c>
      <c r="C46" s="6" t="s">
        <v>81</v>
      </c>
      <c r="D46" s="10"/>
      <c r="E46" s="10"/>
      <c r="H46" s="10"/>
      <c r="I46" s="10"/>
      <c r="L46" s="10"/>
      <c r="M46" s="10"/>
      <c r="P46" s="10"/>
      <c r="Q46" s="10"/>
      <c r="T46" s="10"/>
      <c r="U46" s="10"/>
      <c r="X46" s="10"/>
      <c r="Y46" s="10"/>
      <c r="AB46" s="10"/>
      <c r="AC46" s="10"/>
      <c r="AF46" s="10"/>
      <c r="AG46" s="10"/>
      <c r="AJ46" s="10"/>
      <c r="AK46" s="10"/>
      <c r="AN46" s="10"/>
      <c r="AO46" s="10"/>
      <c r="AR46" s="10"/>
      <c r="AS46" s="10"/>
      <c r="AV46" s="10"/>
      <c r="AW46" s="10"/>
      <c r="AZ46" s="10"/>
      <c r="BA46" s="10"/>
      <c r="BD46" s="10"/>
      <c r="BE46" s="10"/>
      <c r="BH46" s="10"/>
      <c r="BI46" s="10"/>
      <c r="BL46" s="10"/>
      <c r="BM46" s="10"/>
      <c r="BN46">
        <f>SUMIFS($D46:$BM46,$D$9:$BM$9,$H$1)</f>
        <v>0</v>
      </c>
      <c r="BO46">
        <f>SUMIFS($D46:$BM46,$D$9:$BM$9,$H$2)</f>
        <v>0</v>
      </c>
      <c r="BP46">
        <f>BN46-BO46</f>
        <v>0</v>
      </c>
    </row>
    <row r="47" spans="2:68">
      <c r="B47" s="6" t="s">
        <v>82</v>
      </c>
      <c r="C47" s="6" t="s">
        <v>81</v>
      </c>
      <c r="D47" s="10"/>
      <c r="E47" s="10"/>
      <c r="H47" s="10"/>
      <c r="I47" s="10"/>
      <c r="L47" s="10"/>
      <c r="M47" s="10"/>
      <c r="P47" s="10"/>
      <c r="Q47" s="10"/>
      <c r="T47" s="10"/>
      <c r="U47" s="10"/>
      <c r="X47" s="10"/>
      <c r="Y47" s="10"/>
      <c r="AB47" s="10"/>
      <c r="AC47" s="10"/>
      <c r="AF47" s="10"/>
      <c r="AG47" s="10"/>
      <c r="AJ47" s="10"/>
      <c r="AK47" s="10"/>
      <c r="AN47" s="10"/>
      <c r="AO47" s="10"/>
      <c r="AR47" s="10"/>
      <c r="AS47" s="10"/>
      <c r="AV47" s="10"/>
      <c r="AW47" s="10"/>
      <c r="AZ47" s="10"/>
      <c r="BA47" s="10"/>
      <c r="BD47" s="10"/>
      <c r="BE47" s="10"/>
      <c r="BH47" s="10"/>
      <c r="BI47" s="10"/>
      <c r="BL47" s="10"/>
      <c r="BM47" s="10"/>
      <c r="BN47">
        <f>SUMIFS($D47:$BM47,$D$9:$BM$9,$H$1)</f>
        <v>0</v>
      </c>
      <c r="BO47">
        <f>SUMIFS($D47:$BM47,$D$9:$BM$9,$H$2)</f>
        <v>0</v>
      </c>
      <c r="BP47">
        <f>BN47-BO47</f>
        <v>0</v>
      </c>
    </row>
    <row r="48" spans="2:68">
      <c r="B48" s="6" t="s">
        <v>83</v>
      </c>
      <c r="C48" s="6" t="s">
        <v>84</v>
      </c>
      <c r="D48" s="15"/>
      <c r="E48" s="15"/>
      <c r="F48" s="9"/>
      <c r="G48" s="9"/>
      <c r="H48" s="15"/>
      <c r="I48" s="15"/>
      <c r="J48" s="9"/>
      <c r="K48" s="9"/>
      <c r="L48" s="15"/>
      <c r="M48" s="15"/>
      <c r="N48" s="9"/>
      <c r="O48" s="9"/>
      <c r="P48" s="15"/>
      <c r="Q48" s="15"/>
      <c r="R48" s="9"/>
      <c r="S48" s="9"/>
      <c r="T48" s="15"/>
      <c r="U48" s="15"/>
      <c r="V48" s="9"/>
      <c r="W48" s="9"/>
      <c r="X48" s="15"/>
      <c r="Y48" s="15"/>
      <c r="Z48" s="9"/>
      <c r="AA48" s="9"/>
      <c r="AB48" s="15"/>
      <c r="AC48" s="15"/>
      <c r="AD48" s="9"/>
      <c r="AE48" s="9"/>
      <c r="AF48" s="15"/>
      <c r="AG48" s="15"/>
      <c r="AH48" s="9"/>
      <c r="AI48" s="9"/>
      <c r="AJ48" s="15"/>
      <c r="AK48" s="15"/>
      <c r="AL48" s="9"/>
      <c r="AM48" s="9"/>
      <c r="AN48" s="15"/>
      <c r="AO48" s="15"/>
      <c r="AP48" s="9"/>
      <c r="AQ48" s="9"/>
      <c r="AR48" s="15"/>
      <c r="AS48" s="15"/>
      <c r="AT48" s="9"/>
      <c r="AU48" s="9"/>
      <c r="AV48" s="15"/>
      <c r="AW48" s="15"/>
      <c r="AX48" s="9"/>
      <c r="AY48" s="9"/>
      <c r="AZ48" s="15"/>
      <c r="BA48" s="15"/>
      <c r="BB48" s="9"/>
      <c r="BC48" s="9"/>
      <c r="BD48" s="15"/>
      <c r="BE48" s="15"/>
      <c r="BF48" s="9"/>
      <c r="BG48" s="9"/>
      <c r="BH48" s="15"/>
      <c r="BI48" s="15"/>
      <c r="BJ48" s="9"/>
      <c r="BK48" s="9"/>
      <c r="BL48" s="15"/>
      <c r="BM48" s="15"/>
      <c r="BN48">
        <f>SUMIFS($D48:$BM48,$D$9:$BM$9,$H$1)</f>
        <v>0</v>
      </c>
      <c r="BO48">
        <f>SUMIFS($D48:$BM48,$D$9:$BM$9,$H$2)</f>
        <v>0</v>
      </c>
      <c r="BP48">
        <f>BN48-BO48</f>
        <v>0</v>
      </c>
    </row>
    <row r="49" spans="2:68">
      <c r="B49" s="6" t="s">
        <v>85</v>
      </c>
      <c r="C49" s="6" t="s">
        <v>86</v>
      </c>
      <c r="D49" s="10"/>
      <c r="E49" s="10"/>
      <c r="H49" s="10"/>
      <c r="I49" s="10"/>
      <c r="L49" s="10"/>
      <c r="M49" s="10"/>
      <c r="P49" s="10"/>
      <c r="Q49" s="10"/>
      <c r="T49" s="10"/>
      <c r="U49" s="10"/>
      <c r="X49" s="10"/>
      <c r="Y49" s="10"/>
      <c r="AB49" s="10"/>
      <c r="AC49" s="10"/>
      <c r="AF49" s="10"/>
      <c r="AG49" s="10"/>
      <c r="AJ49" s="10"/>
      <c r="AK49" s="10"/>
      <c r="AN49" s="10"/>
      <c r="AO49" s="10"/>
      <c r="AR49" s="10"/>
      <c r="AS49" s="10"/>
      <c r="AV49" s="10"/>
      <c r="AW49" s="10"/>
      <c r="AZ49" s="10"/>
      <c r="BA49" s="10"/>
      <c r="BD49" s="10"/>
      <c r="BE49" s="10"/>
      <c r="BH49" s="10"/>
      <c r="BI49" s="10"/>
      <c r="BL49" s="10"/>
      <c r="BM49" s="10"/>
      <c r="BN49">
        <f>SUMIFS($D49:$BM49,$D$9:$BM$9,$H$1)</f>
        <v>0</v>
      </c>
      <c r="BO49">
        <f>SUMIFS($D49:$BM49,$D$9:$BM$9,$H$2)</f>
        <v>0</v>
      </c>
      <c r="BP49">
        <f>BN49-BO49</f>
        <v>0</v>
      </c>
    </row>
    <row r="50" spans="2:68">
      <c r="B50" s="6" t="s">
        <v>87</v>
      </c>
      <c r="C50" s="6" t="s">
        <v>88</v>
      </c>
      <c r="BN50">
        <f>SUMIFS($D50:$BM50,$D$9:$BM$9,$H$1)</f>
        <v>0</v>
      </c>
      <c r="BO50">
        <f>SUMIFS($D50:$BM50,$D$9:$BM$9,$H$2)</f>
        <v>0</v>
      </c>
      <c r="BP50">
        <f>BN50-BO50</f>
        <v>0</v>
      </c>
    </row>
    <row r="51" spans="2:68">
      <c r="B51" s="6" t="s">
        <v>89</v>
      </c>
      <c r="C51" s="6" t="s">
        <v>88</v>
      </c>
      <c r="BN51">
        <f>SUMIFS($D51:$BM51,$D$9:$BM$9,$H$1)</f>
        <v>0</v>
      </c>
      <c r="BO51">
        <f>SUMIFS($D51:$BM51,$D$9:$BM$9,$H$2)</f>
        <v>0</v>
      </c>
      <c r="BP51">
        <f>BN51-BO51</f>
        <v>0</v>
      </c>
    </row>
    <row r="52" spans="2:68">
      <c r="B52" s="6" t="s">
        <v>90</v>
      </c>
      <c r="C52" s="6" t="s">
        <v>91</v>
      </c>
      <c r="BN52">
        <f>SUMIFS($D52:$BM52,$D$9:$BM$9,$H$1)</f>
        <v>0</v>
      </c>
      <c r="BO52">
        <f>SUMIFS($D52:$BM52,$D$9:$BM$9,$H$2)</f>
        <v>0</v>
      </c>
      <c r="BP52">
        <f>BN52-BO52</f>
        <v>0</v>
      </c>
    </row>
    <row r="53" spans="2:68">
      <c r="B53" s="6" t="s">
        <v>92</v>
      </c>
      <c r="C53" s="6" t="s">
        <v>91</v>
      </c>
      <c r="BN53">
        <f>SUMIFS($D53:$BM53,$D$9:$BM$9,$H$1)</f>
        <v>0</v>
      </c>
      <c r="BO53">
        <f>SUMIFS($D53:$BM53,$D$9:$BM$9,$H$2)</f>
        <v>0</v>
      </c>
      <c r="BP53">
        <f>BN53-BO53</f>
        <v>0</v>
      </c>
    </row>
    <row r="54" spans="2:68">
      <c r="B54" s="6" t="s">
        <v>93</v>
      </c>
      <c r="C54" s="6" t="s">
        <v>94</v>
      </c>
      <c r="BN54">
        <f>SUMIFS($D54:$BM54,$D$9:$BM$9,$H$1)</f>
        <v>0</v>
      </c>
      <c r="BO54">
        <f>SUMIFS($D54:$BM54,$D$9:$BM$9,$H$2)</f>
        <v>0</v>
      </c>
      <c r="BP54">
        <f>BN54-BO54</f>
        <v>0</v>
      </c>
    </row>
    <row r="55" spans="2:68">
      <c r="B55" s="6" t="s">
        <v>95</v>
      </c>
      <c r="C55" s="6" t="s">
        <v>94</v>
      </c>
      <c r="BN55">
        <f>SUMIFS($D55:$BM55,$D$9:$BM$9,$H$1)</f>
        <v>0</v>
      </c>
      <c r="BO55">
        <f>SUMIFS($D55:$BM55,$D$9:$BM$9,$H$2)</f>
        <v>0</v>
      </c>
      <c r="BP55">
        <f>BN55-BO55</f>
        <v>0</v>
      </c>
    </row>
    <row r="56" spans="2:68">
      <c r="B56" s="6" t="s">
        <v>96</v>
      </c>
      <c r="C56" s="6" t="s">
        <v>97</v>
      </c>
      <c r="BN56">
        <f>SUMIFS($D56:$BM56,$D$9:$BM$9,$H$1)</f>
        <v>0</v>
      </c>
      <c r="BO56">
        <f>SUMIFS($D56:$BM56,$D$9:$BM$9,$H$2)</f>
        <v>0</v>
      </c>
      <c r="BP56">
        <f>BN56-BO56</f>
        <v>0</v>
      </c>
    </row>
    <row r="57" spans="2:68">
      <c r="B57" s="6" t="s">
        <v>98</v>
      </c>
      <c r="C57" s="6" t="s">
        <v>99</v>
      </c>
      <c r="BN57">
        <f>SUMIFS($D57:$BM57,$D$9:$BM$9,$H$1)</f>
        <v>0</v>
      </c>
      <c r="BO57">
        <f>SUMIFS($D57:$BM57,$D$9:$BM$9,$H$2)</f>
        <v>0</v>
      </c>
      <c r="BP57">
        <f>BN57-BO57</f>
        <v>0</v>
      </c>
    </row>
  </sheetData>
  <sortState xmlns:xlrd2="http://schemas.microsoft.com/office/spreadsheetml/2017/richdata2" ref="B10:BP57">
    <sortCondition descending="1" ref="BP10:BP57"/>
  </sortState>
  <mergeCells count="93">
    <mergeCell ref="AP7:AQ7"/>
    <mergeCell ref="AR7:AS7"/>
    <mergeCell ref="AT7:AU7"/>
    <mergeCell ref="AV7:AW7"/>
    <mergeCell ref="BL7:BM7"/>
    <mergeCell ref="AZ7:BA7"/>
    <mergeCell ref="BB7:BC7"/>
    <mergeCell ref="BD7:BE7"/>
    <mergeCell ref="BF7:BG7"/>
    <mergeCell ref="BH7:BI7"/>
    <mergeCell ref="BJ7:BK7"/>
    <mergeCell ref="P7:Q7"/>
    <mergeCell ref="R7:S7"/>
    <mergeCell ref="T7:U7"/>
    <mergeCell ref="V7:W7"/>
    <mergeCell ref="X7:Y7"/>
    <mergeCell ref="Z7:AA7"/>
    <mergeCell ref="BF6:BG6"/>
    <mergeCell ref="BH6:BI6"/>
    <mergeCell ref="BJ6:BK6"/>
    <mergeCell ref="BL6:BM6"/>
    <mergeCell ref="BB6:BC6"/>
    <mergeCell ref="BD6:BE6"/>
    <mergeCell ref="AF6:AG6"/>
    <mergeCell ref="AX7:AY7"/>
    <mergeCell ref="AB7:AC7"/>
    <mergeCell ref="AD7:AE7"/>
    <mergeCell ref="AF7:AG7"/>
    <mergeCell ref="AH7:AI7"/>
    <mergeCell ref="AJ7:AK7"/>
    <mergeCell ref="AL7:AM7"/>
    <mergeCell ref="AN7:AO7"/>
    <mergeCell ref="D7:E7"/>
    <mergeCell ref="F7:G7"/>
    <mergeCell ref="H7:I7"/>
    <mergeCell ref="J7:K7"/>
    <mergeCell ref="L7:M7"/>
    <mergeCell ref="N7:O7"/>
    <mergeCell ref="AT6:AU6"/>
    <mergeCell ref="AV6:AW6"/>
    <mergeCell ref="AX6:AY6"/>
    <mergeCell ref="AZ6:BA6"/>
    <mergeCell ref="AH6:AI6"/>
    <mergeCell ref="AJ6:AK6"/>
    <mergeCell ref="AL6:AM6"/>
    <mergeCell ref="AN6:AO6"/>
    <mergeCell ref="AP6:AQ6"/>
    <mergeCell ref="AR6:AS6"/>
    <mergeCell ref="V6:W6"/>
    <mergeCell ref="X6:Y6"/>
    <mergeCell ref="Z6:AA6"/>
    <mergeCell ref="AB6:AC6"/>
    <mergeCell ref="AD6:AE6"/>
    <mergeCell ref="BL5:BM5"/>
    <mergeCell ref="D6:E6"/>
    <mergeCell ref="F6:G6"/>
    <mergeCell ref="H6:I6"/>
    <mergeCell ref="J6:K6"/>
    <mergeCell ref="L6:M6"/>
    <mergeCell ref="N6:O6"/>
    <mergeCell ref="P6:Q6"/>
    <mergeCell ref="R6:S6"/>
    <mergeCell ref="T6:U6"/>
    <mergeCell ref="AZ5:BA5"/>
    <mergeCell ref="BB5:BC5"/>
    <mergeCell ref="BD5:BE5"/>
    <mergeCell ref="BF5:BG5"/>
    <mergeCell ref="BH5:BI5"/>
    <mergeCell ref="BJ5:BK5"/>
    <mergeCell ref="AX5:AY5"/>
    <mergeCell ref="AB5:AC5"/>
    <mergeCell ref="AD5:AE5"/>
    <mergeCell ref="AF5:AG5"/>
    <mergeCell ref="AH5:AI5"/>
    <mergeCell ref="AJ5:AK5"/>
    <mergeCell ref="AL5:AM5"/>
    <mergeCell ref="AN5:AO5"/>
    <mergeCell ref="AP5:AQ5"/>
    <mergeCell ref="AR5:AS5"/>
    <mergeCell ref="AT5:AU5"/>
    <mergeCell ref="AV5:AW5"/>
    <mergeCell ref="Z5:AA5"/>
    <mergeCell ref="D5:E5"/>
    <mergeCell ref="F5:G5"/>
    <mergeCell ref="H5:I5"/>
    <mergeCell ref="J5:K5"/>
    <mergeCell ref="L5:M5"/>
    <mergeCell ref="N5:O5"/>
    <mergeCell ref="P5:Q5"/>
    <mergeCell ref="R5:S5"/>
    <mergeCell ref="T5:U5"/>
    <mergeCell ref="V5:W5"/>
    <mergeCell ref="X5:Y5"/>
  </mergeCells>
  <conditionalFormatting sqref="A9:XFD9">
    <cfRule type="cellIs" dxfId="29" priority="3" operator="equal">
      <formula>"J"</formula>
    </cfRule>
    <cfRule type="cellIs" dxfId="28" priority="4" operator="equal">
      <formula>"A"</formula>
    </cfRule>
  </conditionalFormatting>
  <conditionalFormatting sqref="B10:BP60">
    <cfRule type="expression" dxfId="27" priority="2">
      <formula>MOD(ROW(),2)</formula>
    </cfRule>
  </conditionalFormatting>
  <conditionalFormatting sqref="BP10:BP57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{6DA1E987-20AF-4E77-AEA7-B84BC05ABB3E}</x14:id>
        </ext>
      </extLst>
    </cfRule>
  </conditionalFormatting>
  <dataValidations count="1">
    <dataValidation type="whole" allowBlank="1" showInputMessage="1" showErrorMessage="1" error="Attention: Entier compris entre 0 et 12 !" sqref="D10:BM49" xr:uid="{9FE5EC7B-B9F8-4E84-80D0-93768D863D4C}">
      <formula1>0</formula1>
      <formula2>12</formula2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130" orientation="portrait" r:id="rId1"/>
  <headerFooter>
    <oddFooter>&amp;L&amp;D - &amp;T&amp;RMois de &amp;A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DA1E987-20AF-4E77-AEA7-B84BC05ABB3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BP10:BP57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7547E-0953-4B3B-A7D3-0E172717C7F5}">
  <sheetPr codeName="Feuil6"/>
  <dimension ref="B1:BQ57"/>
  <sheetViews>
    <sheetView showGridLines="0" showRowColHeaders="0" zoomScaleNormal="100" workbookViewId="0">
      <pane xSplit="3" ySplit="9" topLeftCell="D10" activePane="bottomRight" state="frozen"/>
      <selection pane="bottomRight"/>
      <selection pane="bottomLeft" activeCell="CC17" sqref="CC17"/>
      <selection pane="topRight" activeCell="CC17" sqref="CC17"/>
    </sheetView>
  </sheetViews>
  <sheetFormatPr defaultColWidth="11.42578125" defaultRowHeight="15"/>
  <cols>
    <col min="1" max="1" width="2.42578125" customWidth="1"/>
    <col min="2" max="2" width="32.140625" style="6" customWidth="1"/>
    <col min="3" max="3" width="22.42578125" style="6" customWidth="1"/>
    <col min="4" max="65" width="3.7109375" customWidth="1"/>
    <col min="66" max="66" width="4.42578125" bestFit="1" customWidth="1"/>
    <col min="67" max="67" width="4.28515625" customWidth="1"/>
    <col min="68" max="68" width="7.42578125" bestFit="1" customWidth="1"/>
    <col min="69" max="69" width="7.7109375" customWidth="1"/>
    <col min="70" max="105" width="3.7109375" customWidth="1"/>
  </cols>
  <sheetData>
    <row r="1" spans="2:69">
      <c r="H1" s="4" t="s">
        <v>0</v>
      </c>
      <c r="I1" t="s">
        <v>1</v>
      </c>
      <c r="N1" t="s">
        <v>2</v>
      </c>
      <c r="O1" t="s">
        <v>3</v>
      </c>
    </row>
    <row r="2" spans="2:69">
      <c r="H2" s="5" t="s">
        <v>4</v>
      </c>
      <c r="I2" t="s">
        <v>5</v>
      </c>
      <c r="N2" t="s">
        <v>6</v>
      </c>
      <c r="O2" t="s">
        <v>7</v>
      </c>
    </row>
    <row r="3" spans="2:69">
      <c r="N3" t="s">
        <v>8</v>
      </c>
      <c r="O3" t="s">
        <v>9</v>
      </c>
    </row>
    <row r="4" spans="2:69">
      <c r="B4" s="12"/>
      <c r="C4" s="12"/>
    </row>
    <row r="5" spans="2:69" s="2" customFormat="1">
      <c r="B5" s="13"/>
      <c r="C5" s="13"/>
      <c r="D5" s="45">
        <v>1</v>
      </c>
      <c r="E5" s="45"/>
      <c r="F5" s="45">
        <v>2</v>
      </c>
      <c r="G5" s="45"/>
      <c r="H5" s="45">
        <v>3</v>
      </c>
      <c r="I5" s="45"/>
      <c r="J5" s="45">
        <v>4</v>
      </c>
      <c r="K5" s="45"/>
      <c r="L5" s="45">
        <v>5</v>
      </c>
      <c r="M5" s="45"/>
      <c r="N5" s="45">
        <v>6</v>
      </c>
      <c r="O5" s="45"/>
      <c r="P5" s="45">
        <v>7</v>
      </c>
      <c r="Q5" s="45"/>
      <c r="R5" s="45">
        <v>8</v>
      </c>
      <c r="S5" s="45"/>
      <c r="T5" s="45">
        <v>9</v>
      </c>
      <c r="U5" s="45"/>
      <c r="V5" s="45">
        <v>10</v>
      </c>
      <c r="W5" s="45"/>
      <c r="X5" s="45">
        <v>11</v>
      </c>
      <c r="Y5" s="45"/>
      <c r="Z5" s="45">
        <v>12</v>
      </c>
      <c r="AA5" s="45"/>
      <c r="AB5" s="45">
        <v>13</v>
      </c>
      <c r="AC5" s="45"/>
      <c r="AD5" s="45">
        <v>14</v>
      </c>
      <c r="AE5" s="45"/>
      <c r="AF5" s="45">
        <v>15</v>
      </c>
      <c r="AG5" s="45"/>
      <c r="AH5" s="45">
        <v>16</v>
      </c>
      <c r="AI5" s="45"/>
      <c r="AJ5" s="45">
        <v>17</v>
      </c>
      <c r="AK5" s="45"/>
      <c r="AL5" s="45">
        <v>18</v>
      </c>
      <c r="AM5" s="45"/>
      <c r="AN5" s="45">
        <v>19</v>
      </c>
      <c r="AO5" s="45"/>
      <c r="AP5" s="45">
        <v>20</v>
      </c>
      <c r="AQ5" s="45"/>
      <c r="AR5" s="45">
        <v>21</v>
      </c>
      <c r="AS5" s="45"/>
      <c r="AT5" s="45">
        <v>22</v>
      </c>
      <c r="AU5" s="45"/>
      <c r="AV5" s="45">
        <v>23</v>
      </c>
      <c r="AW5" s="45"/>
      <c r="AX5" s="45">
        <v>24</v>
      </c>
      <c r="AY5" s="45"/>
      <c r="AZ5" s="45">
        <v>25</v>
      </c>
      <c r="BA5" s="45"/>
      <c r="BB5" s="45">
        <v>26</v>
      </c>
      <c r="BC5" s="45"/>
      <c r="BD5" s="45">
        <v>27</v>
      </c>
      <c r="BE5" s="45"/>
      <c r="BF5" s="45">
        <v>28</v>
      </c>
      <c r="BG5" s="45"/>
      <c r="BH5" s="45">
        <v>29</v>
      </c>
      <c r="BI5" s="45"/>
      <c r="BJ5" s="45">
        <v>30</v>
      </c>
      <c r="BK5" s="45"/>
      <c r="BL5" s="45">
        <v>31</v>
      </c>
      <c r="BM5" s="45"/>
      <c r="BQ5" s="6" t="s">
        <v>10</v>
      </c>
    </row>
    <row r="6" spans="2:69">
      <c r="D6" s="49" t="str">
        <f t="shared" ref="D6:BL6" si="0">TEXT(WEEKDAY(DATE($BQ$6,4,D$5),1),"jjj")</f>
        <v>mer.</v>
      </c>
      <c r="E6" s="49"/>
      <c r="F6" s="49" t="str">
        <f t="shared" si="0"/>
        <v>jeu.</v>
      </c>
      <c r="G6" s="49"/>
      <c r="H6" s="49" t="str">
        <f t="shared" si="0"/>
        <v>ven.</v>
      </c>
      <c r="I6" s="49"/>
      <c r="J6" s="49" t="str">
        <f t="shared" si="0"/>
        <v>sam.</v>
      </c>
      <c r="K6" s="49"/>
      <c r="L6" s="49" t="str">
        <f t="shared" si="0"/>
        <v>dim.</v>
      </c>
      <c r="M6" s="49"/>
      <c r="N6" s="49" t="str">
        <f t="shared" si="0"/>
        <v>lun.</v>
      </c>
      <c r="O6" s="49"/>
      <c r="P6" s="49" t="str">
        <f t="shared" si="0"/>
        <v>mar.</v>
      </c>
      <c r="Q6" s="49"/>
      <c r="R6" s="49" t="str">
        <f t="shared" si="0"/>
        <v>mer.</v>
      </c>
      <c r="S6" s="49"/>
      <c r="T6" s="49" t="str">
        <f t="shared" si="0"/>
        <v>jeu.</v>
      </c>
      <c r="U6" s="49"/>
      <c r="V6" s="49" t="str">
        <f t="shared" si="0"/>
        <v>ven.</v>
      </c>
      <c r="W6" s="49"/>
      <c r="X6" s="49" t="str">
        <f t="shared" si="0"/>
        <v>sam.</v>
      </c>
      <c r="Y6" s="49"/>
      <c r="Z6" s="49" t="str">
        <f t="shared" si="0"/>
        <v>dim.</v>
      </c>
      <c r="AA6" s="49"/>
      <c r="AB6" s="49" t="str">
        <f t="shared" si="0"/>
        <v>lun.</v>
      </c>
      <c r="AC6" s="49"/>
      <c r="AD6" s="49" t="str">
        <f t="shared" si="0"/>
        <v>mar.</v>
      </c>
      <c r="AE6" s="49"/>
      <c r="AF6" s="49" t="str">
        <f t="shared" si="0"/>
        <v>mer.</v>
      </c>
      <c r="AG6" s="49"/>
      <c r="AH6" s="49" t="str">
        <f t="shared" si="0"/>
        <v>jeu.</v>
      </c>
      <c r="AI6" s="49"/>
      <c r="AJ6" s="49" t="str">
        <f t="shared" si="0"/>
        <v>ven.</v>
      </c>
      <c r="AK6" s="49"/>
      <c r="AL6" s="49" t="str">
        <f t="shared" si="0"/>
        <v>sam.</v>
      </c>
      <c r="AM6" s="49"/>
      <c r="AN6" s="49" t="str">
        <f t="shared" si="0"/>
        <v>dim.</v>
      </c>
      <c r="AO6" s="49"/>
      <c r="AP6" s="49" t="str">
        <f t="shared" si="0"/>
        <v>lun.</v>
      </c>
      <c r="AQ6" s="49"/>
      <c r="AR6" s="49" t="str">
        <f t="shared" si="0"/>
        <v>mar.</v>
      </c>
      <c r="AS6" s="49"/>
      <c r="AT6" s="49" t="str">
        <f t="shared" si="0"/>
        <v>mer.</v>
      </c>
      <c r="AU6" s="49"/>
      <c r="AV6" s="49" t="str">
        <f t="shared" si="0"/>
        <v>jeu.</v>
      </c>
      <c r="AW6" s="49"/>
      <c r="AX6" s="49" t="str">
        <f t="shared" si="0"/>
        <v>ven.</v>
      </c>
      <c r="AY6" s="49"/>
      <c r="AZ6" s="49" t="str">
        <f t="shared" si="0"/>
        <v>sam.</v>
      </c>
      <c r="BA6" s="49"/>
      <c r="BB6" s="49" t="str">
        <f t="shared" si="0"/>
        <v>dim.</v>
      </c>
      <c r="BC6" s="49"/>
      <c r="BD6" s="49" t="str">
        <f t="shared" si="0"/>
        <v>lun.</v>
      </c>
      <c r="BE6" s="49"/>
      <c r="BF6" s="49" t="str">
        <f t="shared" si="0"/>
        <v>mar.</v>
      </c>
      <c r="BG6" s="49"/>
      <c r="BH6" s="49" t="str">
        <f t="shared" si="0"/>
        <v>mer.</v>
      </c>
      <c r="BI6" s="49"/>
      <c r="BJ6" s="49" t="str">
        <f t="shared" si="0"/>
        <v>jeu.</v>
      </c>
      <c r="BK6" s="49"/>
      <c r="BL6" s="49"/>
      <c r="BM6" s="49"/>
      <c r="BN6" s="14" t="str">
        <f>Janvier!BN6</f>
        <v>LIAGE 3</v>
      </c>
      <c r="BO6" s="14"/>
      <c r="BP6" s="14"/>
      <c r="BQ6" s="7">
        <f>Janvier!BQ6</f>
        <v>2020</v>
      </c>
    </row>
    <row r="7" spans="2:69">
      <c r="B7" s="30" t="s">
        <v>104</v>
      </c>
      <c r="C7" s="1"/>
      <c r="D7" s="47">
        <v>1</v>
      </c>
      <c r="E7" s="48"/>
      <c r="F7" s="47">
        <v>2</v>
      </c>
      <c r="G7" s="48"/>
      <c r="H7" s="47">
        <v>3</v>
      </c>
      <c r="I7" s="48"/>
      <c r="J7" s="47">
        <v>4</v>
      </c>
      <c r="K7" s="48"/>
      <c r="L7" s="47">
        <v>5</v>
      </c>
      <c r="M7" s="48"/>
      <c r="N7" s="47">
        <v>6</v>
      </c>
      <c r="O7" s="48"/>
      <c r="P7" s="47">
        <v>7</v>
      </c>
      <c r="Q7" s="48"/>
      <c r="R7" s="47">
        <v>8</v>
      </c>
      <c r="S7" s="48"/>
      <c r="T7" s="47">
        <v>9</v>
      </c>
      <c r="U7" s="48"/>
      <c r="V7" s="47">
        <v>10</v>
      </c>
      <c r="W7" s="48"/>
      <c r="X7" s="47">
        <v>11</v>
      </c>
      <c r="Y7" s="48"/>
      <c r="Z7" s="47">
        <v>12</v>
      </c>
      <c r="AA7" s="48"/>
      <c r="AB7" s="47">
        <v>13</v>
      </c>
      <c r="AC7" s="48"/>
      <c r="AD7" s="47">
        <v>14</v>
      </c>
      <c r="AE7" s="48"/>
      <c r="AF7" s="47">
        <v>15</v>
      </c>
      <c r="AG7" s="48"/>
      <c r="AH7" s="47">
        <v>16</v>
      </c>
      <c r="AI7" s="48"/>
      <c r="AJ7" s="47">
        <v>17</v>
      </c>
      <c r="AK7" s="48"/>
      <c r="AL7" s="47">
        <v>18</v>
      </c>
      <c r="AM7" s="48"/>
      <c r="AN7" s="47">
        <v>19</v>
      </c>
      <c r="AO7" s="48"/>
      <c r="AP7" s="47">
        <v>20</v>
      </c>
      <c r="AQ7" s="48"/>
      <c r="AR7" s="47">
        <v>21</v>
      </c>
      <c r="AS7" s="48"/>
      <c r="AT7" s="47">
        <v>22</v>
      </c>
      <c r="AU7" s="48"/>
      <c r="AV7" s="47">
        <v>23</v>
      </c>
      <c r="AW7" s="48"/>
      <c r="AX7" s="47">
        <v>24</v>
      </c>
      <c r="AY7" s="48"/>
      <c r="AZ7" s="47">
        <v>25</v>
      </c>
      <c r="BA7" s="48"/>
      <c r="BB7" s="47">
        <v>26</v>
      </c>
      <c r="BC7" s="48"/>
      <c r="BD7" s="47">
        <v>27</v>
      </c>
      <c r="BE7" s="48"/>
      <c r="BF7" s="47">
        <v>28</v>
      </c>
      <c r="BG7" s="48"/>
      <c r="BH7" s="47">
        <v>29</v>
      </c>
      <c r="BI7" s="48"/>
      <c r="BJ7" s="47">
        <v>30</v>
      </c>
      <c r="BK7" s="48"/>
      <c r="BL7" s="47"/>
      <c r="BM7" s="48"/>
    </row>
    <row r="8" spans="2:69" s="11" customFormat="1">
      <c r="B8" s="8"/>
      <c r="C8" s="8" t="s">
        <v>105</v>
      </c>
      <c r="D8" s="16"/>
      <c r="E8" s="17"/>
      <c r="F8" s="18"/>
      <c r="G8" s="17"/>
      <c r="H8" s="19"/>
      <c r="I8" s="20"/>
      <c r="J8" s="19"/>
      <c r="K8" s="20"/>
      <c r="L8" s="19"/>
      <c r="M8" s="20"/>
      <c r="N8" s="19"/>
      <c r="O8" s="20"/>
      <c r="P8" s="19"/>
      <c r="Q8" s="20"/>
      <c r="R8" s="19"/>
      <c r="S8" s="20"/>
      <c r="T8" s="19"/>
      <c r="U8" s="20"/>
      <c r="V8" s="19"/>
      <c r="W8" s="20"/>
      <c r="X8" s="19"/>
      <c r="Y8" s="20"/>
      <c r="Z8" s="19"/>
      <c r="AA8" s="20"/>
      <c r="AB8" s="19"/>
      <c r="AC8" s="20"/>
      <c r="AD8" s="19"/>
      <c r="AE8" s="20"/>
      <c r="AF8" s="19"/>
      <c r="AG8" s="20"/>
      <c r="AH8" s="19"/>
      <c r="AI8" s="20"/>
      <c r="AJ8" s="19"/>
      <c r="AK8" s="20"/>
      <c r="AL8" s="19"/>
      <c r="AM8" s="20"/>
      <c r="AN8" s="19"/>
      <c r="AO8" s="20"/>
      <c r="AP8" s="19"/>
      <c r="AQ8" s="20"/>
      <c r="AR8" s="19"/>
      <c r="AS8" s="20"/>
      <c r="AT8" s="19"/>
      <c r="AU8" s="20"/>
      <c r="AV8" s="19"/>
      <c r="AW8" s="20"/>
      <c r="AX8" s="19"/>
      <c r="AY8" s="20"/>
      <c r="AZ8" s="19"/>
      <c r="BA8" s="20"/>
      <c r="BB8" s="19"/>
      <c r="BC8" s="20"/>
      <c r="BD8" s="19"/>
      <c r="BE8" s="20"/>
      <c r="BF8" s="19"/>
      <c r="BG8" s="20"/>
      <c r="BH8" s="19"/>
      <c r="BI8" s="20"/>
      <c r="BJ8" s="19"/>
      <c r="BK8" s="20"/>
      <c r="BL8" s="19"/>
      <c r="BM8" s="21"/>
      <c r="BN8">
        <f>SUM(BN10:BN49)</f>
        <v>71</v>
      </c>
      <c r="BO8">
        <f>SUM(BO10:BO49)</f>
        <v>27</v>
      </c>
      <c r="BP8">
        <f>SUM(BP10:BP49)</f>
        <v>44</v>
      </c>
    </row>
    <row r="9" spans="2:69" s="3" customFormat="1" ht="12" customHeight="1">
      <c r="B9" s="23" t="s">
        <v>14</v>
      </c>
      <c r="C9" s="23" t="s">
        <v>15</v>
      </c>
      <c r="D9" s="24" t="str">
        <f>$H$1</f>
        <v>A</v>
      </c>
      <c r="E9" s="25" t="str">
        <f>$H$2</f>
        <v>J</v>
      </c>
      <c r="F9" s="26" t="str">
        <f>$H$1</f>
        <v>A</v>
      </c>
      <c r="G9" s="27" t="str">
        <f>$H$2</f>
        <v>J</v>
      </c>
      <c r="H9" s="28" t="str">
        <f>$H$1</f>
        <v>A</v>
      </c>
      <c r="I9" s="25" t="str">
        <f>$H$2</f>
        <v>J</v>
      </c>
      <c r="J9" s="26" t="str">
        <f>$H$1</f>
        <v>A</v>
      </c>
      <c r="K9" s="27" t="str">
        <f>$H$2</f>
        <v>J</v>
      </c>
      <c r="L9" s="28" t="str">
        <f>$H$1</f>
        <v>A</v>
      </c>
      <c r="M9" s="25" t="str">
        <f>$H$2</f>
        <v>J</v>
      </c>
      <c r="N9" s="26" t="str">
        <f>$H$1</f>
        <v>A</v>
      </c>
      <c r="O9" s="27" t="str">
        <f>$H$2</f>
        <v>J</v>
      </c>
      <c r="P9" s="28" t="str">
        <f>$H$1</f>
        <v>A</v>
      </c>
      <c r="Q9" s="25" t="str">
        <f>$H$2</f>
        <v>J</v>
      </c>
      <c r="R9" s="26" t="str">
        <f>$H$1</f>
        <v>A</v>
      </c>
      <c r="S9" s="27" t="str">
        <f>$H$2</f>
        <v>J</v>
      </c>
      <c r="T9" s="28" t="str">
        <f>$H$1</f>
        <v>A</v>
      </c>
      <c r="U9" s="25" t="str">
        <f>$H$2</f>
        <v>J</v>
      </c>
      <c r="V9" s="26" t="str">
        <f>$H$1</f>
        <v>A</v>
      </c>
      <c r="W9" s="27" t="str">
        <f>$H$2</f>
        <v>J</v>
      </c>
      <c r="X9" s="28" t="str">
        <f>$H$1</f>
        <v>A</v>
      </c>
      <c r="Y9" s="25" t="str">
        <f>$H$2</f>
        <v>J</v>
      </c>
      <c r="Z9" s="26" t="str">
        <f>$H$1</f>
        <v>A</v>
      </c>
      <c r="AA9" s="27" t="str">
        <f>$H$2</f>
        <v>J</v>
      </c>
      <c r="AB9" s="28" t="str">
        <f>$H$1</f>
        <v>A</v>
      </c>
      <c r="AC9" s="25" t="str">
        <f>$H$2</f>
        <v>J</v>
      </c>
      <c r="AD9" s="26" t="str">
        <f>$H$1</f>
        <v>A</v>
      </c>
      <c r="AE9" s="27" t="str">
        <f>$H$2</f>
        <v>J</v>
      </c>
      <c r="AF9" s="28" t="str">
        <f>$H$1</f>
        <v>A</v>
      </c>
      <c r="AG9" s="25" t="str">
        <f>$H$2</f>
        <v>J</v>
      </c>
      <c r="AH9" s="26" t="str">
        <f>$H$1</f>
        <v>A</v>
      </c>
      <c r="AI9" s="27" t="str">
        <f>$H$2</f>
        <v>J</v>
      </c>
      <c r="AJ9" s="28" t="str">
        <f>$H$1</f>
        <v>A</v>
      </c>
      <c r="AK9" s="25" t="str">
        <f>$H$2</f>
        <v>J</v>
      </c>
      <c r="AL9" s="26" t="str">
        <f>$H$1</f>
        <v>A</v>
      </c>
      <c r="AM9" s="27" t="str">
        <f>$H$2</f>
        <v>J</v>
      </c>
      <c r="AN9" s="28" t="str">
        <f>$H$1</f>
        <v>A</v>
      </c>
      <c r="AO9" s="25" t="str">
        <f>$H$2</f>
        <v>J</v>
      </c>
      <c r="AP9" s="26" t="str">
        <f>$H$1</f>
        <v>A</v>
      </c>
      <c r="AQ9" s="27" t="str">
        <f>$H$2</f>
        <v>J</v>
      </c>
      <c r="AR9" s="28" t="str">
        <f>$H$1</f>
        <v>A</v>
      </c>
      <c r="AS9" s="25" t="str">
        <f>$H$2</f>
        <v>J</v>
      </c>
      <c r="AT9" s="26" t="str">
        <f>$H$1</f>
        <v>A</v>
      </c>
      <c r="AU9" s="27" t="str">
        <f>$H$2</f>
        <v>J</v>
      </c>
      <c r="AV9" s="28" t="str">
        <f>$H$1</f>
        <v>A</v>
      </c>
      <c r="AW9" s="25" t="str">
        <f>$H$2</f>
        <v>J</v>
      </c>
      <c r="AX9" s="26" t="str">
        <f>$H$1</f>
        <v>A</v>
      </c>
      <c r="AY9" s="27" t="str">
        <f>$H$2</f>
        <v>J</v>
      </c>
      <c r="AZ9" s="28" t="str">
        <f>$H$1</f>
        <v>A</v>
      </c>
      <c r="BA9" s="25" t="str">
        <f>$H$2</f>
        <v>J</v>
      </c>
      <c r="BB9" s="26" t="str">
        <f>$H$1</f>
        <v>A</v>
      </c>
      <c r="BC9" s="27" t="str">
        <f>$H$2</f>
        <v>J</v>
      </c>
      <c r="BD9" s="28" t="str">
        <f>$H$1</f>
        <v>A</v>
      </c>
      <c r="BE9" s="25" t="str">
        <f>$H$2</f>
        <v>J</v>
      </c>
      <c r="BF9" s="26" t="str">
        <f>$H$1</f>
        <v>A</v>
      </c>
      <c r="BG9" s="27" t="str">
        <f>$H$2</f>
        <v>J</v>
      </c>
      <c r="BH9" s="28" t="str">
        <f>$H$1</f>
        <v>A</v>
      </c>
      <c r="BI9" s="25" t="str">
        <f>$H$2</f>
        <v>J</v>
      </c>
      <c r="BJ9" s="26" t="str">
        <f>$H$1</f>
        <v>A</v>
      </c>
      <c r="BK9" s="27" t="str">
        <f>$H$2</f>
        <v>J</v>
      </c>
      <c r="BL9" s="28" t="str">
        <f>$H$1</f>
        <v>A</v>
      </c>
      <c r="BM9" s="24" t="str">
        <f>$H$2</f>
        <v>J</v>
      </c>
      <c r="BN9" s="29" t="s">
        <v>2</v>
      </c>
      <c r="BO9" s="29" t="s">
        <v>6</v>
      </c>
      <c r="BP9" s="29" t="s">
        <v>8</v>
      </c>
    </row>
    <row r="10" spans="2:69">
      <c r="B10" s="6" t="s">
        <v>16</v>
      </c>
      <c r="C10" s="6" t="s">
        <v>17</v>
      </c>
      <c r="D10" s="10"/>
      <c r="E10" s="15"/>
      <c r="F10" s="9"/>
      <c r="G10" s="9"/>
      <c r="H10" s="15"/>
      <c r="I10" s="15"/>
      <c r="J10" s="9"/>
      <c r="K10" s="9"/>
      <c r="L10" s="15"/>
      <c r="M10" s="15"/>
      <c r="N10" s="9"/>
      <c r="O10" s="9"/>
      <c r="P10" s="15"/>
      <c r="Q10" s="15"/>
      <c r="R10" s="9"/>
      <c r="S10" s="9"/>
      <c r="T10" s="15"/>
      <c r="U10" s="15"/>
      <c r="V10" s="9"/>
      <c r="W10" s="9"/>
      <c r="X10" s="15"/>
      <c r="Y10" s="15"/>
      <c r="Z10" s="9"/>
      <c r="AA10" s="9"/>
      <c r="AB10" s="15"/>
      <c r="AC10" s="15"/>
      <c r="AD10" s="9"/>
      <c r="AE10" s="9"/>
      <c r="AF10" s="15"/>
      <c r="AG10" s="15"/>
      <c r="AH10" s="9"/>
      <c r="AI10" s="9"/>
      <c r="AJ10" s="15"/>
      <c r="AK10" s="15"/>
      <c r="AL10" s="9"/>
      <c r="AM10" s="9"/>
      <c r="AN10" s="15">
        <v>7</v>
      </c>
      <c r="AO10" s="15"/>
      <c r="AP10" s="9">
        <v>5</v>
      </c>
      <c r="AQ10" s="9">
        <v>1</v>
      </c>
      <c r="AR10" s="15"/>
      <c r="AS10" s="15"/>
      <c r="AT10" s="9"/>
      <c r="AU10" s="9"/>
      <c r="AV10" s="15"/>
      <c r="AW10" s="15"/>
      <c r="AX10" s="9">
        <v>8</v>
      </c>
      <c r="AY10" s="9"/>
      <c r="AZ10" s="15"/>
      <c r="BA10" s="15"/>
      <c r="BB10" s="15"/>
      <c r="BC10" s="9"/>
      <c r="BD10" s="15"/>
      <c r="BE10" s="15"/>
      <c r="BF10" s="15"/>
      <c r="BG10" s="9"/>
      <c r="BH10" s="15"/>
      <c r="BI10" s="15"/>
      <c r="BJ10" s="9"/>
      <c r="BK10" s="9"/>
      <c r="BL10" s="15"/>
      <c r="BM10" s="10"/>
      <c r="BN10">
        <f>SUMIFS($D10:$BM10,$D$9:$BM$9,$H$1)</f>
        <v>20</v>
      </c>
      <c r="BO10">
        <f>SUMIFS($D10:$BM10,$D$9:$BM$9,$H$2)</f>
        <v>1</v>
      </c>
      <c r="BP10">
        <f>BN10-BO10</f>
        <v>19</v>
      </c>
    </row>
    <row r="11" spans="2:69">
      <c r="B11" s="6" t="s">
        <v>18</v>
      </c>
      <c r="C11" s="6" t="s">
        <v>19</v>
      </c>
      <c r="D11" s="10">
        <v>8</v>
      </c>
      <c r="E11" s="15">
        <v>8</v>
      </c>
      <c r="F11" s="9">
        <v>7</v>
      </c>
      <c r="G11" s="9">
        <v>1</v>
      </c>
      <c r="H11" s="15">
        <v>10</v>
      </c>
      <c r="I11" s="15"/>
      <c r="J11" s="15"/>
      <c r="K11" s="9"/>
      <c r="L11" s="15"/>
      <c r="M11" s="15"/>
      <c r="N11" s="9"/>
      <c r="O11" s="9"/>
      <c r="P11" s="15"/>
      <c r="Q11" s="15"/>
      <c r="R11" s="15"/>
      <c r="S11" s="9"/>
      <c r="T11" s="15"/>
      <c r="U11" s="15"/>
      <c r="V11" s="9"/>
      <c r="W11" s="9"/>
      <c r="X11" s="15"/>
      <c r="Y11" s="15"/>
      <c r="Z11" s="9"/>
      <c r="AA11" s="9"/>
      <c r="AB11" s="15"/>
      <c r="AC11" s="15"/>
      <c r="AD11" s="9"/>
      <c r="AE11" s="9"/>
      <c r="AF11" s="15"/>
      <c r="AG11" s="15"/>
      <c r="AH11" s="9"/>
      <c r="AI11" s="9"/>
      <c r="AJ11" s="15"/>
      <c r="AK11" s="15"/>
      <c r="AL11" s="9"/>
      <c r="AM11" s="9"/>
      <c r="AN11" s="15"/>
      <c r="AO11" s="15"/>
      <c r="AP11" s="9"/>
      <c r="AQ11" s="9"/>
      <c r="AR11" s="15"/>
      <c r="AS11" s="15"/>
      <c r="AT11" s="9"/>
      <c r="AU11" s="9"/>
      <c r="AV11" s="15"/>
      <c r="AW11" s="15"/>
      <c r="AX11" s="9"/>
      <c r="AY11" s="9"/>
      <c r="AZ11" s="15"/>
      <c r="BA11" s="15"/>
      <c r="BB11" s="9"/>
      <c r="BC11" s="9"/>
      <c r="BD11" s="15"/>
      <c r="BE11" s="15"/>
      <c r="BF11" s="9"/>
      <c r="BG11" s="9"/>
      <c r="BH11" s="15"/>
      <c r="BI11" s="15"/>
      <c r="BJ11" s="9"/>
      <c r="BK11" s="9"/>
      <c r="BL11" s="15"/>
      <c r="BM11" s="10"/>
      <c r="BN11">
        <f>SUMIFS($D11:$BM11,$D$9:$BM$9,$H$1)</f>
        <v>25</v>
      </c>
      <c r="BO11">
        <f>SUMIFS($D11:$BM11,$D$9:$BM$9,$H$2)</f>
        <v>9</v>
      </c>
      <c r="BP11">
        <f>BN11-BO11</f>
        <v>16</v>
      </c>
    </row>
    <row r="12" spans="2:69">
      <c r="B12" s="6" t="s">
        <v>20</v>
      </c>
      <c r="C12" s="6" t="s">
        <v>21</v>
      </c>
      <c r="D12" s="10">
        <v>8</v>
      </c>
      <c r="E12" s="15">
        <v>2</v>
      </c>
      <c r="F12" s="9"/>
      <c r="G12" s="9"/>
      <c r="H12" s="15"/>
      <c r="I12" s="15">
        <v>6</v>
      </c>
      <c r="J12" s="9">
        <v>3</v>
      </c>
      <c r="K12" s="9"/>
      <c r="L12" s="15"/>
      <c r="M12" s="15"/>
      <c r="N12" s="9"/>
      <c r="O12" s="9"/>
      <c r="P12" s="15"/>
      <c r="Q12" s="15"/>
      <c r="R12" s="9"/>
      <c r="S12" s="9"/>
      <c r="T12" s="15">
        <v>7</v>
      </c>
      <c r="U12" s="15">
        <v>1</v>
      </c>
      <c r="V12" s="9"/>
      <c r="W12" s="9"/>
      <c r="X12" s="15">
        <v>8</v>
      </c>
      <c r="Y12" s="15">
        <v>8</v>
      </c>
      <c r="Z12" s="9"/>
      <c r="AA12" s="9"/>
      <c r="AB12" s="15"/>
      <c r="AC12" s="15"/>
      <c r="AD12" s="9"/>
      <c r="AE12" s="9"/>
      <c r="AF12" s="15"/>
      <c r="AG12" s="15"/>
      <c r="AH12" s="9"/>
      <c r="AI12" s="9"/>
      <c r="AJ12" s="15"/>
      <c r="AK12" s="15"/>
      <c r="AL12" s="9"/>
      <c r="AM12" s="9"/>
      <c r="AN12" s="15"/>
      <c r="AO12" s="15"/>
      <c r="AP12" s="9"/>
      <c r="AQ12" s="9"/>
      <c r="AR12" s="15"/>
      <c r="AS12" s="15"/>
      <c r="AT12" s="9"/>
      <c r="AU12" s="9"/>
      <c r="AV12" s="15"/>
      <c r="AW12" s="15"/>
      <c r="AX12" s="9"/>
      <c r="AY12" s="9"/>
      <c r="AZ12" s="15"/>
      <c r="BA12" s="15"/>
      <c r="BB12" s="9"/>
      <c r="BC12" s="9"/>
      <c r="BD12" s="15"/>
      <c r="BE12" s="15"/>
      <c r="BF12" s="9"/>
      <c r="BG12" s="9"/>
      <c r="BH12" s="15"/>
      <c r="BI12" s="15"/>
      <c r="BJ12" s="9"/>
      <c r="BK12" s="9"/>
      <c r="BL12" s="15"/>
      <c r="BM12" s="10"/>
      <c r="BN12">
        <f>SUMIFS($D12:$BM12,$D$9:$BM$9,$H$1)</f>
        <v>26</v>
      </c>
      <c r="BO12">
        <f>SUMIFS($D12:$BM12,$D$9:$BM$9,$H$2)</f>
        <v>17</v>
      </c>
      <c r="BP12">
        <f>BN12-BO12</f>
        <v>9</v>
      </c>
    </row>
    <row r="13" spans="2:69">
      <c r="B13" s="6" t="s">
        <v>22</v>
      </c>
      <c r="C13" s="6" t="s">
        <v>23</v>
      </c>
      <c r="D13" s="10"/>
      <c r="E13" s="10"/>
      <c r="H13" s="10"/>
      <c r="I13" s="10"/>
      <c r="L13" s="10"/>
      <c r="M13" s="10"/>
      <c r="P13" s="10"/>
      <c r="Q13" s="10"/>
      <c r="T13" s="10"/>
      <c r="U13" s="10"/>
      <c r="X13" s="10"/>
      <c r="Y13" s="10"/>
      <c r="AB13" s="10"/>
      <c r="AC13" s="10"/>
      <c r="AF13" s="10"/>
      <c r="AG13" s="10"/>
      <c r="AJ13" s="10"/>
      <c r="AK13" s="10"/>
      <c r="AN13" s="10"/>
      <c r="AO13" s="10"/>
      <c r="AR13" s="10"/>
      <c r="AS13" s="10"/>
      <c r="AV13" s="10"/>
      <c r="AW13" s="10"/>
      <c r="AZ13" s="10"/>
      <c r="BA13" s="10"/>
      <c r="BD13" s="10"/>
      <c r="BE13" s="10"/>
      <c r="BH13" s="10"/>
      <c r="BI13" s="10"/>
      <c r="BL13" s="10"/>
      <c r="BM13" s="10"/>
      <c r="BN13">
        <f>SUMIFS($D13:$BM13,$D$9:$BM$9,$H$1)</f>
        <v>0</v>
      </c>
      <c r="BO13">
        <f>SUMIFS($D13:$BM13,$D$9:$BM$9,$H$2)</f>
        <v>0</v>
      </c>
      <c r="BP13">
        <f>BN13-BO13</f>
        <v>0</v>
      </c>
    </row>
    <row r="14" spans="2:69">
      <c r="B14" s="6" t="s">
        <v>24</v>
      </c>
      <c r="C14" s="6" t="s">
        <v>25</v>
      </c>
      <c r="D14" s="15"/>
      <c r="E14" s="15"/>
      <c r="F14" s="9"/>
      <c r="G14" s="9"/>
      <c r="H14" s="15"/>
      <c r="I14" s="15"/>
      <c r="J14" s="9"/>
      <c r="K14" s="9"/>
      <c r="L14" s="15"/>
      <c r="M14" s="15"/>
      <c r="N14" s="9"/>
      <c r="O14" s="9"/>
      <c r="P14" s="15"/>
      <c r="Q14" s="15"/>
      <c r="R14" s="9"/>
      <c r="S14" s="9"/>
      <c r="T14" s="15"/>
      <c r="U14" s="15"/>
      <c r="V14" s="9"/>
      <c r="W14" s="9"/>
      <c r="X14" s="15"/>
      <c r="Y14" s="15"/>
      <c r="Z14" s="9"/>
      <c r="AA14" s="9"/>
      <c r="AB14" s="15"/>
      <c r="AC14" s="15"/>
      <c r="AD14" s="9"/>
      <c r="AE14" s="9"/>
      <c r="AF14" s="15"/>
      <c r="AG14" s="15"/>
      <c r="AH14" s="9"/>
      <c r="AI14" s="9"/>
      <c r="AJ14" s="15"/>
      <c r="AK14" s="15"/>
      <c r="AL14" s="9"/>
      <c r="AM14" s="9"/>
      <c r="AN14" s="15"/>
      <c r="AO14" s="15"/>
      <c r="AP14" s="9"/>
      <c r="AQ14" s="9"/>
      <c r="AR14" s="15"/>
      <c r="AS14" s="15"/>
      <c r="AT14" s="9"/>
      <c r="AU14" s="9"/>
      <c r="AV14" s="15"/>
      <c r="AW14" s="15"/>
      <c r="AX14" s="9"/>
      <c r="AY14" s="9"/>
      <c r="AZ14" s="15"/>
      <c r="BA14" s="15"/>
      <c r="BB14" s="9"/>
      <c r="BC14" s="9"/>
      <c r="BD14" s="15"/>
      <c r="BE14" s="15"/>
      <c r="BF14" s="9"/>
      <c r="BG14" s="9"/>
      <c r="BH14" s="15"/>
      <c r="BI14" s="15"/>
      <c r="BJ14" s="9"/>
      <c r="BK14" s="9"/>
      <c r="BL14" s="15"/>
      <c r="BM14" s="15"/>
      <c r="BN14">
        <f>SUMIFS($D14:$BM14,$D$9:$BM$9,$H$1)</f>
        <v>0</v>
      </c>
      <c r="BO14">
        <f>SUMIFS($D14:$BM14,$D$9:$BM$9,$H$2)</f>
        <v>0</v>
      </c>
      <c r="BP14">
        <f>BN14-BO14</f>
        <v>0</v>
      </c>
    </row>
    <row r="15" spans="2:69">
      <c r="B15" s="6" t="s">
        <v>26</v>
      </c>
      <c r="C15" s="6" t="s">
        <v>27</v>
      </c>
      <c r="D15" s="10"/>
      <c r="E15" s="15"/>
      <c r="F15" s="9"/>
      <c r="G15" s="9"/>
      <c r="H15" s="15"/>
      <c r="I15" s="15"/>
      <c r="J15" s="9"/>
      <c r="K15" s="9"/>
      <c r="L15" s="15"/>
      <c r="M15" s="15"/>
      <c r="N15" s="9"/>
      <c r="O15" s="9"/>
      <c r="P15" s="15"/>
      <c r="Q15" s="15"/>
      <c r="R15" s="9"/>
      <c r="S15" s="9"/>
      <c r="T15" s="15"/>
      <c r="U15" s="15"/>
      <c r="V15" s="9"/>
      <c r="W15" s="9"/>
      <c r="X15" s="15"/>
      <c r="Y15" s="15"/>
      <c r="Z15" s="9"/>
      <c r="AA15" s="9"/>
      <c r="AB15" s="15"/>
      <c r="AC15" s="15"/>
      <c r="AD15" s="9"/>
      <c r="AE15" s="9"/>
      <c r="AF15" s="15"/>
      <c r="AG15" s="15"/>
      <c r="AH15" s="9"/>
      <c r="AI15" s="9"/>
      <c r="AJ15" s="15"/>
      <c r="AK15" s="15"/>
      <c r="AL15" s="9"/>
      <c r="AM15" s="9"/>
      <c r="AN15" s="15"/>
      <c r="AO15" s="15"/>
      <c r="AP15" s="9"/>
      <c r="AQ15" s="9"/>
      <c r="AR15" s="15"/>
      <c r="AS15" s="15"/>
      <c r="AT15" s="9"/>
      <c r="AU15" s="9"/>
      <c r="AV15" s="15"/>
      <c r="AW15" s="15"/>
      <c r="AX15" s="9"/>
      <c r="AY15" s="9"/>
      <c r="AZ15" s="15"/>
      <c r="BA15" s="15"/>
      <c r="BB15" s="9"/>
      <c r="BC15" s="9"/>
      <c r="BD15" s="15"/>
      <c r="BE15" s="15"/>
      <c r="BF15" s="9"/>
      <c r="BG15" s="9"/>
      <c r="BH15" s="15"/>
      <c r="BI15" s="15"/>
      <c r="BJ15" s="9"/>
      <c r="BK15" s="9"/>
      <c r="BL15" s="15"/>
      <c r="BM15" s="10"/>
      <c r="BN15">
        <f>SUMIFS($D15:$BM15,$D$9:$BM$9,$H$1)</f>
        <v>0</v>
      </c>
      <c r="BO15">
        <f>SUMIFS($D15:$BM15,$D$9:$BM$9,$H$2)</f>
        <v>0</v>
      </c>
      <c r="BP15">
        <f>BN15-BO15</f>
        <v>0</v>
      </c>
    </row>
    <row r="16" spans="2:69">
      <c r="B16" s="6" t="s">
        <v>28</v>
      </c>
      <c r="C16" s="6" t="s">
        <v>27</v>
      </c>
      <c r="D16" s="10"/>
      <c r="E16" s="15"/>
      <c r="F16" s="9"/>
      <c r="G16" s="9"/>
      <c r="H16" s="15"/>
      <c r="I16" s="15"/>
      <c r="J16" s="9"/>
      <c r="K16" s="9"/>
      <c r="L16" s="15"/>
      <c r="M16" s="15"/>
      <c r="N16" s="9"/>
      <c r="O16" s="9"/>
      <c r="P16" s="15"/>
      <c r="Q16" s="15"/>
      <c r="R16" s="9"/>
      <c r="S16" s="9"/>
      <c r="T16" s="15"/>
      <c r="U16" s="15"/>
      <c r="V16" s="9"/>
      <c r="W16" s="9"/>
      <c r="X16" s="15"/>
      <c r="Y16" s="15"/>
      <c r="Z16" s="9"/>
      <c r="AA16" s="9"/>
      <c r="AB16" s="15"/>
      <c r="AC16" s="15"/>
      <c r="AD16" s="9"/>
      <c r="AE16" s="9"/>
      <c r="AF16" s="15"/>
      <c r="AG16" s="15"/>
      <c r="AH16" s="9"/>
      <c r="AI16" s="9"/>
      <c r="AJ16" s="15"/>
      <c r="AK16" s="15"/>
      <c r="AL16" s="9"/>
      <c r="AM16" s="9"/>
      <c r="AN16" s="15"/>
      <c r="AO16" s="15"/>
      <c r="AP16" s="9"/>
      <c r="AQ16" s="9"/>
      <c r="AR16" s="15"/>
      <c r="AS16" s="15"/>
      <c r="AT16" s="9"/>
      <c r="AU16" s="9"/>
      <c r="AV16" s="15"/>
      <c r="AW16" s="15"/>
      <c r="AX16" s="9"/>
      <c r="AY16" s="9"/>
      <c r="AZ16" s="15"/>
      <c r="BA16" s="15"/>
      <c r="BB16" s="9"/>
      <c r="BC16" s="9"/>
      <c r="BD16" s="15"/>
      <c r="BE16" s="15"/>
      <c r="BF16" s="9"/>
      <c r="BG16" s="9"/>
      <c r="BH16" s="15"/>
      <c r="BI16" s="15"/>
      <c r="BJ16" s="9"/>
      <c r="BK16" s="9"/>
      <c r="BL16" s="15"/>
      <c r="BM16" s="10"/>
      <c r="BN16">
        <f>SUMIFS($D16:$BM16,$D$9:$BM$9,$H$1)</f>
        <v>0</v>
      </c>
      <c r="BO16">
        <f>SUMIFS($D16:$BM16,$D$9:$BM$9,$H$2)</f>
        <v>0</v>
      </c>
      <c r="BP16">
        <f>BN16-BO16</f>
        <v>0</v>
      </c>
    </row>
    <row r="17" spans="2:68">
      <c r="B17" s="6" t="s">
        <v>29</v>
      </c>
      <c r="C17" s="6" t="s">
        <v>30</v>
      </c>
      <c r="D17" s="10"/>
      <c r="E17" s="10"/>
      <c r="H17" s="10"/>
      <c r="I17" s="10"/>
      <c r="L17" s="10"/>
      <c r="M17" s="10"/>
      <c r="P17" s="10"/>
      <c r="Q17" s="10"/>
      <c r="T17" s="10"/>
      <c r="U17" s="10"/>
      <c r="X17" s="10"/>
      <c r="Y17" s="10"/>
      <c r="AB17" s="10"/>
      <c r="AC17" s="10"/>
      <c r="AF17" s="10"/>
      <c r="AG17" s="10"/>
      <c r="AJ17" s="10"/>
      <c r="AK17" s="10"/>
      <c r="AN17" s="10"/>
      <c r="AO17" s="10"/>
      <c r="AR17" s="10"/>
      <c r="AS17" s="10"/>
      <c r="AV17" s="10"/>
      <c r="AW17" s="10"/>
      <c r="AZ17" s="10"/>
      <c r="BA17" s="10"/>
      <c r="BD17" s="10"/>
      <c r="BE17" s="10"/>
      <c r="BH17" s="10"/>
      <c r="BI17" s="10"/>
      <c r="BL17" s="10"/>
      <c r="BM17" s="10"/>
      <c r="BN17">
        <f>SUMIFS($D17:$BM17,$D$9:$BM$9,$H$1)</f>
        <v>0</v>
      </c>
      <c r="BO17">
        <f>SUMIFS($D17:$BM17,$D$9:$BM$9,$H$2)</f>
        <v>0</v>
      </c>
      <c r="BP17">
        <f>BN17-BO17</f>
        <v>0</v>
      </c>
    </row>
    <row r="18" spans="2:68">
      <c r="B18" s="6" t="s">
        <v>31</v>
      </c>
      <c r="C18" s="6" t="s">
        <v>32</v>
      </c>
      <c r="D18" s="10"/>
      <c r="E18" s="10"/>
      <c r="H18" s="10"/>
      <c r="I18" s="10"/>
      <c r="L18" s="10"/>
      <c r="M18" s="10"/>
      <c r="P18" s="10"/>
      <c r="Q18" s="10"/>
      <c r="T18" s="10"/>
      <c r="U18" s="10"/>
      <c r="X18" s="10"/>
      <c r="Y18" s="10"/>
      <c r="AB18" s="10"/>
      <c r="AC18" s="10"/>
      <c r="AF18" s="10"/>
      <c r="AG18" s="10"/>
      <c r="AJ18" s="10"/>
      <c r="AK18" s="10"/>
      <c r="AN18" s="10"/>
      <c r="AO18" s="10"/>
      <c r="AR18" s="10"/>
      <c r="AS18" s="10"/>
      <c r="AV18" s="10"/>
      <c r="AW18" s="10"/>
      <c r="AZ18" s="10"/>
      <c r="BA18" s="10"/>
      <c r="BD18" s="10"/>
      <c r="BE18" s="10"/>
      <c r="BH18" s="10"/>
      <c r="BI18" s="10"/>
      <c r="BL18" s="10"/>
      <c r="BM18" s="10"/>
      <c r="BN18">
        <f>SUMIFS($D18:$BM18,$D$9:$BM$9,$H$1)</f>
        <v>0</v>
      </c>
      <c r="BO18">
        <f>SUMIFS($D18:$BM18,$D$9:$BM$9,$H$2)</f>
        <v>0</v>
      </c>
      <c r="BP18">
        <f>BN18-BO18</f>
        <v>0</v>
      </c>
    </row>
    <row r="19" spans="2:68">
      <c r="B19" s="6" t="s">
        <v>33</v>
      </c>
      <c r="C19" s="6" t="s">
        <v>34</v>
      </c>
      <c r="D19" s="10"/>
      <c r="E19" s="10"/>
      <c r="H19" s="10"/>
      <c r="I19" s="10"/>
      <c r="L19" s="10"/>
      <c r="M19" s="10"/>
      <c r="P19" s="10"/>
      <c r="Q19" s="10"/>
      <c r="T19" s="10"/>
      <c r="U19" s="10"/>
      <c r="X19" s="10"/>
      <c r="Y19" s="10"/>
      <c r="AB19" s="10"/>
      <c r="AC19" s="10"/>
      <c r="AF19" s="10"/>
      <c r="AG19" s="10"/>
      <c r="AJ19" s="10"/>
      <c r="AK19" s="10"/>
      <c r="AN19" s="10"/>
      <c r="AO19" s="10"/>
      <c r="AR19" s="10"/>
      <c r="AS19" s="10"/>
      <c r="AV19" s="10"/>
      <c r="AW19" s="10"/>
      <c r="AZ19" s="10"/>
      <c r="BA19" s="10"/>
      <c r="BD19" s="10"/>
      <c r="BE19" s="10"/>
      <c r="BH19" s="10"/>
      <c r="BI19" s="10"/>
      <c r="BL19" s="10"/>
      <c r="BM19" s="10"/>
      <c r="BN19">
        <f>SUMIFS($D19:$BM19,$D$9:$BM$9,$H$1)</f>
        <v>0</v>
      </c>
      <c r="BO19">
        <f>SUMIFS($D19:$BM19,$D$9:$BM$9,$H$2)</f>
        <v>0</v>
      </c>
      <c r="BP19">
        <f>BN19-BO19</f>
        <v>0</v>
      </c>
    </row>
    <row r="20" spans="2:68">
      <c r="B20" s="6" t="s">
        <v>35</v>
      </c>
      <c r="C20" s="6" t="s">
        <v>36</v>
      </c>
      <c r="D20" s="10"/>
      <c r="E20" s="15"/>
      <c r="F20" s="9"/>
      <c r="G20" s="9"/>
      <c r="H20" s="15"/>
      <c r="I20" s="15"/>
      <c r="J20" s="9"/>
      <c r="K20" s="9"/>
      <c r="L20" s="15"/>
      <c r="M20" s="15"/>
      <c r="N20" s="9"/>
      <c r="O20" s="9"/>
      <c r="P20" s="15"/>
      <c r="Q20" s="15"/>
      <c r="R20" s="9"/>
      <c r="S20" s="9"/>
      <c r="T20" s="15"/>
      <c r="U20" s="15"/>
      <c r="V20" s="9"/>
      <c r="W20" s="9"/>
      <c r="X20" s="15"/>
      <c r="Y20" s="15"/>
      <c r="Z20" s="9"/>
      <c r="AA20" s="9"/>
      <c r="AB20" s="15"/>
      <c r="AC20" s="15"/>
      <c r="AD20" s="9"/>
      <c r="AE20" s="9"/>
      <c r="AF20" s="15"/>
      <c r="AG20" s="15"/>
      <c r="AH20" s="9"/>
      <c r="AI20" s="9"/>
      <c r="AJ20" s="15"/>
      <c r="AK20" s="15"/>
      <c r="AL20" s="9"/>
      <c r="AM20" s="9"/>
      <c r="AN20" s="15"/>
      <c r="AO20" s="15"/>
      <c r="AP20" s="9"/>
      <c r="AQ20" s="9"/>
      <c r="AR20" s="15"/>
      <c r="AS20" s="15"/>
      <c r="AT20" s="9"/>
      <c r="AU20" s="9"/>
      <c r="AV20" s="15"/>
      <c r="AW20" s="15"/>
      <c r="AX20" s="9"/>
      <c r="AY20" s="9"/>
      <c r="AZ20" s="15"/>
      <c r="BA20" s="15"/>
      <c r="BB20" s="9"/>
      <c r="BC20" s="9"/>
      <c r="BD20" s="15"/>
      <c r="BE20" s="15"/>
      <c r="BF20" s="9"/>
      <c r="BG20" s="9"/>
      <c r="BH20" s="15"/>
      <c r="BI20" s="15"/>
      <c r="BJ20" s="9"/>
      <c r="BK20" s="9"/>
      <c r="BL20" s="15"/>
      <c r="BM20" s="10"/>
      <c r="BN20">
        <f>SUMIFS($D20:$BM20,$D$9:$BM$9,$H$1)</f>
        <v>0</v>
      </c>
      <c r="BO20">
        <f>SUMIFS($D20:$BM20,$D$9:$BM$9,$H$2)</f>
        <v>0</v>
      </c>
      <c r="BP20">
        <f>BN20-BO20</f>
        <v>0</v>
      </c>
    </row>
    <row r="21" spans="2:68">
      <c r="B21" s="6" t="s">
        <v>37</v>
      </c>
      <c r="C21" s="6" t="s">
        <v>38</v>
      </c>
      <c r="D21" s="10"/>
      <c r="E21" s="10"/>
      <c r="H21" s="10"/>
      <c r="I21" s="10"/>
      <c r="L21" s="10"/>
      <c r="M21" s="10"/>
      <c r="P21" s="10"/>
      <c r="Q21" s="10"/>
      <c r="T21" s="10"/>
      <c r="U21" s="10"/>
      <c r="X21" s="10"/>
      <c r="Y21" s="10"/>
      <c r="AB21" s="10"/>
      <c r="AC21" s="10"/>
      <c r="AF21" s="10"/>
      <c r="AG21" s="10"/>
      <c r="AJ21" s="10"/>
      <c r="AK21" s="10"/>
      <c r="AN21" s="10"/>
      <c r="AO21" s="10"/>
      <c r="AR21" s="10"/>
      <c r="AS21" s="10"/>
      <c r="AV21" s="10"/>
      <c r="AW21" s="10"/>
      <c r="AZ21" s="10"/>
      <c r="BA21" s="10"/>
      <c r="BD21" s="10"/>
      <c r="BE21" s="10"/>
      <c r="BH21" s="10"/>
      <c r="BI21" s="10"/>
      <c r="BL21" s="10"/>
      <c r="BM21" s="10"/>
      <c r="BN21">
        <f>SUMIFS($D21:$BM21,$D$9:$BM$9,$H$1)</f>
        <v>0</v>
      </c>
      <c r="BO21">
        <f>SUMIFS($D21:$BM21,$D$9:$BM$9,$H$2)</f>
        <v>0</v>
      </c>
      <c r="BP21">
        <f>BN21-BO21</f>
        <v>0</v>
      </c>
    </row>
    <row r="22" spans="2:68">
      <c r="B22" s="6" t="s">
        <v>39</v>
      </c>
      <c r="C22" s="6" t="s">
        <v>40</v>
      </c>
      <c r="D22" s="10"/>
      <c r="E22" s="10"/>
      <c r="H22" s="10"/>
      <c r="I22" s="10"/>
      <c r="L22" s="10"/>
      <c r="M22" s="10"/>
      <c r="P22" s="10"/>
      <c r="Q22" s="10"/>
      <c r="T22" s="10"/>
      <c r="U22" s="10"/>
      <c r="X22" s="10"/>
      <c r="Y22" s="10"/>
      <c r="AB22" s="10"/>
      <c r="AC22" s="10"/>
      <c r="AF22" s="10"/>
      <c r="AG22" s="10"/>
      <c r="AJ22" s="10"/>
      <c r="AK22" s="10"/>
      <c r="AN22" s="10"/>
      <c r="AO22" s="10"/>
      <c r="AR22" s="10"/>
      <c r="AS22" s="10"/>
      <c r="AV22" s="10"/>
      <c r="AW22" s="10"/>
      <c r="AZ22" s="10"/>
      <c r="BA22" s="10"/>
      <c r="BD22" s="10"/>
      <c r="BE22" s="10"/>
      <c r="BH22" s="10"/>
      <c r="BI22" s="10"/>
      <c r="BL22" s="10"/>
      <c r="BM22" s="10"/>
      <c r="BN22">
        <f>SUMIFS($D22:$BM22,$D$9:$BM$9,$H$1)</f>
        <v>0</v>
      </c>
      <c r="BO22">
        <f>SUMIFS($D22:$BM22,$D$9:$BM$9,$H$2)</f>
        <v>0</v>
      </c>
      <c r="BP22">
        <f>BN22-BO22</f>
        <v>0</v>
      </c>
    </row>
    <row r="23" spans="2:68">
      <c r="B23" s="6" t="s">
        <v>41</v>
      </c>
      <c r="C23" s="6" t="s">
        <v>42</v>
      </c>
      <c r="D23" s="10"/>
      <c r="E23" s="10"/>
      <c r="H23" s="10"/>
      <c r="I23" s="10"/>
      <c r="L23" s="10"/>
      <c r="M23" s="10"/>
      <c r="P23" s="10"/>
      <c r="Q23" s="10"/>
      <c r="T23" s="10"/>
      <c r="U23" s="10"/>
      <c r="X23" s="10"/>
      <c r="Y23" s="10"/>
      <c r="AB23" s="10"/>
      <c r="AC23" s="10"/>
      <c r="AF23" s="10"/>
      <c r="AG23" s="10"/>
      <c r="AJ23" s="10"/>
      <c r="AK23" s="10"/>
      <c r="AN23" s="10"/>
      <c r="AO23" s="10"/>
      <c r="AR23" s="10"/>
      <c r="AS23" s="10"/>
      <c r="AV23" s="10"/>
      <c r="AW23" s="10"/>
      <c r="AZ23" s="10"/>
      <c r="BA23" s="10"/>
      <c r="BD23" s="10"/>
      <c r="BE23" s="10"/>
      <c r="BH23" s="10"/>
      <c r="BI23" s="10"/>
      <c r="BL23" s="10"/>
      <c r="BM23" s="10"/>
      <c r="BN23">
        <f>SUMIFS($D23:$BM23,$D$9:$BM$9,$H$1)</f>
        <v>0</v>
      </c>
      <c r="BO23">
        <f>SUMIFS($D23:$BM23,$D$9:$BM$9,$H$2)</f>
        <v>0</v>
      </c>
      <c r="BP23">
        <f>BN23-BO23</f>
        <v>0</v>
      </c>
    </row>
    <row r="24" spans="2:68">
      <c r="B24" s="6" t="s">
        <v>43</v>
      </c>
      <c r="C24" s="6" t="s">
        <v>44</v>
      </c>
      <c r="D24" s="10"/>
      <c r="E24" s="10"/>
      <c r="H24" s="10"/>
      <c r="I24" s="10"/>
      <c r="L24" s="10"/>
      <c r="M24" s="10"/>
      <c r="P24" s="10"/>
      <c r="Q24" s="10"/>
      <c r="T24" s="10"/>
      <c r="U24" s="10"/>
      <c r="X24" s="10"/>
      <c r="Y24" s="10"/>
      <c r="AB24" s="10"/>
      <c r="AC24" s="10"/>
      <c r="AF24" s="10"/>
      <c r="AG24" s="10"/>
      <c r="AJ24" s="10"/>
      <c r="AK24" s="10"/>
      <c r="AN24" s="10"/>
      <c r="AO24" s="10"/>
      <c r="AR24" s="10"/>
      <c r="AS24" s="10"/>
      <c r="AV24" s="10"/>
      <c r="AW24" s="10"/>
      <c r="AZ24" s="10"/>
      <c r="BA24" s="10"/>
      <c r="BD24" s="10"/>
      <c r="BE24" s="10"/>
      <c r="BH24" s="10"/>
      <c r="BI24" s="10"/>
      <c r="BL24" s="10"/>
      <c r="BM24" s="10"/>
      <c r="BN24">
        <f>SUMIFS($D24:$BM24,$D$9:$BM$9,$H$1)</f>
        <v>0</v>
      </c>
      <c r="BO24">
        <f>SUMIFS($D24:$BM24,$D$9:$BM$9,$H$2)</f>
        <v>0</v>
      </c>
      <c r="BP24">
        <f>BN24-BO24</f>
        <v>0</v>
      </c>
    </row>
    <row r="25" spans="2:68">
      <c r="B25" s="6" t="s">
        <v>45</v>
      </c>
      <c r="C25" s="6" t="s">
        <v>46</v>
      </c>
      <c r="D25" s="10"/>
      <c r="E25" s="10"/>
      <c r="H25" s="10"/>
      <c r="I25" s="10"/>
      <c r="L25" s="10"/>
      <c r="M25" s="10"/>
      <c r="P25" s="10"/>
      <c r="Q25" s="10"/>
      <c r="T25" s="10"/>
      <c r="U25" s="10"/>
      <c r="X25" s="10"/>
      <c r="Y25" s="10"/>
      <c r="AB25" s="10"/>
      <c r="AC25" s="10"/>
      <c r="AF25" s="10"/>
      <c r="AG25" s="10"/>
      <c r="AJ25" s="10"/>
      <c r="AK25" s="10"/>
      <c r="AN25" s="10"/>
      <c r="AO25" s="10"/>
      <c r="AR25" s="10"/>
      <c r="AS25" s="10"/>
      <c r="AV25" s="10"/>
      <c r="AW25" s="10"/>
      <c r="AZ25" s="10"/>
      <c r="BA25" s="10"/>
      <c r="BD25" s="10"/>
      <c r="BE25" s="10"/>
      <c r="BH25" s="10"/>
      <c r="BI25" s="10"/>
      <c r="BL25" s="10"/>
      <c r="BM25" s="10"/>
      <c r="BN25">
        <f>SUMIFS($D25:$BM25,$D$9:$BM$9,$H$1)</f>
        <v>0</v>
      </c>
      <c r="BO25">
        <f>SUMIFS($D25:$BM25,$D$9:$BM$9,$H$2)</f>
        <v>0</v>
      </c>
      <c r="BP25">
        <f>BN25-BO25</f>
        <v>0</v>
      </c>
    </row>
    <row r="26" spans="2:68">
      <c r="B26" s="6" t="s">
        <v>47</v>
      </c>
      <c r="C26" s="6" t="s">
        <v>48</v>
      </c>
      <c r="D26" s="10"/>
      <c r="E26" s="10"/>
      <c r="H26" s="10"/>
      <c r="I26" s="10"/>
      <c r="L26" s="10"/>
      <c r="M26" s="10"/>
      <c r="P26" s="10"/>
      <c r="Q26" s="10"/>
      <c r="T26" s="10"/>
      <c r="U26" s="10"/>
      <c r="X26" s="10"/>
      <c r="Y26" s="10"/>
      <c r="AB26" s="10"/>
      <c r="AC26" s="10"/>
      <c r="AF26" s="10"/>
      <c r="AG26" s="10"/>
      <c r="AJ26" s="10"/>
      <c r="AK26" s="10"/>
      <c r="AN26" s="10"/>
      <c r="AO26" s="10"/>
      <c r="AR26" s="10"/>
      <c r="AS26" s="10"/>
      <c r="AV26" s="10"/>
      <c r="AW26" s="10"/>
      <c r="AZ26" s="10"/>
      <c r="BA26" s="10"/>
      <c r="BD26" s="10"/>
      <c r="BE26" s="10"/>
      <c r="BH26" s="10"/>
      <c r="BI26" s="10"/>
      <c r="BL26" s="10"/>
      <c r="BM26" s="10"/>
      <c r="BN26">
        <f>SUMIFS($D26:$BM26,$D$9:$BM$9,$H$1)</f>
        <v>0</v>
      </c>
      <c r="BO26">
        <f>SUMIFS($D26:$BM26,$D$9:$BM$9,$H$2)</f>
        <v>0</v>
      </c>
      <c r="BP26">
        <f>BN26-BO26</f>
        <v>0</v>
      </c>
    </row>
    <row r="27" spans="2:68">
      <c r="B27" s="6" t="s">
        <v>49</v>
      </c>
      <c r="C27" s="6" t="s">
        <v>50</v>
      </c>
      <c r="D27" s="10"/>
      <c r="E27" s="10"/>
      <c r="H27" s="10"/>
      <c r="I27" s="10"/>
      <c r="L27" s="10"/>
      <c r="M27" s="10"/>
      <c r="P27" s="10"/>
      <c r="Q27" s="10"/>
      <c r="T27" s="10"/>
      <c r="U27" s="10"/>
      <c r="X27" s="10"/>
      <c r="Y27" s="10"/>
      <c r="AB27" s="10"/>
      <c r="AC27" s="10"/>
      <c r="AF27" s="10"/>
      <c r="AG27" s="10"/>
      <c r="AJ27" s="10"/>
      <c r="AK27" s="10"/>
      <c r="AN27" s="10"/>
      <c r="AO27" s="10"/>
      <c r="AR27" s="10"/>
      <c r="AS27" s="10"/>
      <c r="AV27" s="10"/>
      <c r="AW27" s="10"/>
      <c r="AZ27" s="10"/>
      <c r="BA27" s="10"/>
      <c r="BD27" s="10"/>
      <c r="BE27" s="10"/>
      <c r="BH27" s="10"/>
      <c r="BI27" s="10"/>
      <c r="BL27" s="10"/>
      <c r="BM27" s="10"/>
      <c r="BN27">
        <f>SUMIFS($D27:$BM27,$D$9:$BM$9,$H$1)</f>
        <v>0</v>
      </c>
      <c r="BO27">
        <f>SUMIFS($D27:$BM27,$D$9:$BM$9,$H$2)</f>
        <v>0</v>
      </c>
      <c r="BP27">
        <f>BN27-BO27</f>
        <v>0</v>
      </c>
    </row>
    <row r="28" spans="2:68">
      <c r="B28" s="6" t="s">
        <v>51</v>
      </c>
      <c r="C28" s="6" t="s">
        <v>50</v>
      </c>
      <c r="D28" s="10"/>
      <c r="E28" s="10"/>
      <c r="H28" s="10"/>
      <c r="I28" s="10"/>
      <c r="L28" s="10"/>
      <c r="M28" s="10"/>
      <c r="P28" s="10"/>
      <c r="Q28" s="10"/>
      <c r="T28" s="10"/>
      <c r="U28" s="10"/>
      <c r="X28" s="10"/>
      <c r="Y28" s="10"/>
      <c r="AB28" s="10"/>
      <c r="AC28" s="10"/>
      <c r="AF28" s="10"/>
      <c r="AG28" s="10"/>
      <c r="AJ28" s="10"/>
      <c r="AK28" s="10"/>
      <c r="AN28" s="10"/>
      <c r="AO28" s="10"/>
      <c r="AR28" s="10"/>
      <c r="AS28" s="10"/>
      <c r="AV28" s="10"/>
      <c r="AW28" s="10"/>
      <c r="AZ28" s="10"/>
      <c r="BA28" s="10"/>
      <c r="BD28" s="10"/>
      <c r="BE28" s="10"/>
      <c r="BH28" s="10"/>
      <c r="BI28" s="10"/>
      <c r="BL28" s="10"/>
      <c r="BM28" s="10"/>
      <c r="BN28">
        <f>SUMIFS($D28:$BM28,$D$9:$BM$9,$H$1)</f>
        <v>0</v>
      </c>
      <c r="BO28">
        <f>SUMIFS($D28:$BM28,$D$9:$BM$9,$H$2)</f>
        <v>0</v>
      </c>
      <c r="BP28">
        <f>BN28-BO28</f>
        <v>0</v>
      </c>
    </row>
    <row r="29" spans="2:68">
      <c r="B29" s="6" t="s">
        <v>52</v>
      </c>
      <c r="C29" s="6" t="s">
        <v>50</v>
      </c>
      <c r="D29" s="10"/>
      <c r="E29" s="15"/>
      <c r="F29" s="9"/>
      <c r="G29" s="9"/>
      <c r="H29" s="15"/>
      <c r="I29" s="15"/>
      <c r="J29" s="9"/>
      <c r="K29" s="9"/>
      <c r="L29" s="15"/>
      <c r="M29" s="15"/>
      <c r="N29" s="9"/>
      <c r="O29" s="9"/>
      <c r="P29" s="15"/>
      <c r="Q29" s="15"/>
      <c r="R29" s="9"/>
      <c r="S29" s="9"/>
      <c r="T29" s="15"/>
      <c r="U29" s="15"/>
      <c r="V29" s="9"/>
      <c r="W29" s="9"/>
      <c r="X29" s="15"/>
      <c r="Y29" s="15"/>
      <c r="Z29" s="9"/>
      <c r="AA29" s="9"/>
      <c r="AB29" s="15"/>
      <c r="AC29" s="15"/>
      <c r="AD29" s="9"/>
      <c r="AE29" s="9"/>
      <c r="AF29" s="15"/>
      <c r="AG29" s="15"/>
      <c r="AH29" s="9"/>
      <c r="AI29" s="9"/>
      <c r="AJ29" s="15"/>
      <c r="AK29" s="15"/>
      <c r="AL29" s="9"/>
      <c r="AM29" s="9"/>
      <c r="AN29" s="15"/>
      <c r="AO29" s="15"/>
      <c r="AP29" s="9"/>
      <c r="AQ29" s="9"/>
      <c r="AR29" s="15"/>
      <c r="AS29" s="15"/>
      <c r="AT29" s="9"/>
      <c r="AU29" s="9"/>
      <c r="AV29" s="15"/>
      <c r="AW29" s="15"/>
      <c r="AX29" s="9"/>
      <c r="AY29" s="9"/>
      <c r="AZ29" s="15"/>
      <c r="BA29" s="15"/>
      <c r="BB29" s="9"/>
      <c r="BC29" s="9"/>
      <c r="BD29" s="15"/>
      <c r="BE29" s="15"/>
      <c r="BF29" s="9"/>
      <c r="BG29" s="9"/>
      <c r="BH29" s="15"/>
      <c r="BI29" s="15"/>
      <c r="BJ29" s="9"/>
      <c r="BK29" s="9"/>
      <c r="BL29" s="15"/>
      <c r="BM29" s="10"/>
      <c r="BN29">
        <f>SUMIFS($D29:$BM29,$D$9:$BM$9,$H$1)</f>
        <v>0</v>
      </c>
      <c r="BO29">
        <f>SUMIFS($D29:$BM29,$D$9:$BM$9,$H$2)</f>
        <v>0</v>
      </c>
      <c r="BP29">
        <f>BN29-BO29</f>
        <v>0</v>
      </c>
    </row>
    <row r="30" spans="2:68">
      <c r="B30" s="6" t="s">
        <v>53</v>
      </c>
      <c r="C30" s="6" t="s">
        <v>54</v>
      </c>
      <c r="D30" s="10"/>
      <c r="E30" s="10"/>
      <c r="H30" s="10"/>
      <c r="I30" s="10"/>
      <c r="L30" s="10"/>
      <c r="M30" s="10"/>
      <c r="P30" s="10"/>
      <c r="Q30" s="10"/>
      <c r="T30" s="10"/>
      <c r="U30" s="10"/>
      <c r="X30" s="10"/>
      <c r="Y30" s="10"/>
      <c r="AB30" s="10"/>
      <c r="AC30" s="10"/>
      <c r="AF30" s="10"/>
      <c r="AG30" s="10"/>
      <c r="AJ30" s="10"/>
      <c r="AK30" s="10"/>
      <c r="AN30" s="10"/>
      <c r="AO30" s="10"/>
      <c r="AR30" s="10"/>
      <c r="AS30" s="10"/>
      <c r="AV30" s="10"/>
      <c r="AW30" s="10"/>
      <c r="AZ30" s="10"/>
      <c r="BA30" s="10"/>
      <c r="BD30" s="10"/>
      <c r="BE30" s="10"/>
      <c r="BH30" s="10"/>
      <c r="BI30" s="10"/>
      <c r="BL30" s="10"/>
      <c r="BM30" s="10"/>
      <c r="BN30">
        <f>SUMIFS($D30:$BM30,$D$9:$BM$9,$H$1)</f>
        <v>0</v>
      </c>
      <c r="BO30">
        <f>SUMIFS($D30:$BM30,$D$9:$BM$9,$H$2)</f>
        <v>0</v>
      </c>
      <c r="BP30">
        <f>BN30-BO30</f>
        <v>0</v>
      </c>
    </row>
    <row r="31" spans="2:68">
      <c r="B31" s="6" t="s">
        <v>55</v>
      </c>
      <c r="C31" s="6" t="s">
        <v>56</v>
      </c>
      <c r="D31" s="10"/>
      <c r="E31" s="10"/>
      <c r="H31" s="10"/>
      <c r="I31" s="10"/>
      <c r="L31" s="10"/>
      <c r="M31" s="10"/>
      <c r="P31" s="10"/>
      <c r="Q31" s="10"/>
      <c r="T31" s="10"/>
      <c r="U31" s="10"/>
      <c r="X31" s="10"/>
      <c r="Y31" s="10"/>
      <c r="AB31" s="10"/>
      <c r="AC31" s="10"/>
      <c r="AF31" s="10"/>
      <c r="AG31" s="10"/>
      <c r="AJ31" s="10"/>
      <c r="AK31" s="10"/>
      <c r="AN31" s="10"/>
      <c r="AO31" s="10"/>
      <c r="AR31" s="10"/>
      <c r="AS31" s="10"/>
      <c r="AV31" s="10"/>
      <c r="AW31" s="10"/>
      <c r="AZ31" s="10"/>
      <c r="BA31" s="10"/>
      <c r="BD31" s="10"/>
      <c r="BE31" s="10"/>
      <c r="BH31" s="10"/>
      <c r="BI31" s="10"/>
      <c r="BL31" s="10"/>
      <c r="BM31" s="10"/>
      <c r="BN31">
        <f>SUMIFS($D31:$BM31,$D$9:$BM$9,$H$1)</f>
        <v>0</v>
      </c>
      <c r="BO31">
        <f>SUMIFS($D31:$BM31,$D$9:$BM$9,$H$2)</f>
        <v>0</v>
      </c>
      <c r="BP31">
        <f>BN31-BO31</f>
        <v>0</v>
      </c>
    </row>
    <row r="32" spans="2:68">
      <c r="B32" s="6" t="s">
        <v>57</v>
      </c>
      <c r="C32" s="6" t="s">
        <v>56</v>
      </c>
      <c r="D32" s="10"/>
      <c r="E32" s="10"/>
      <c r="H32" s="10"/>
      <c r="I32" s="10"/>
      <c r="L32" s="10"/>
      <c r="M32" s="10"/>
      <c r="P32" s="10"/>
      <c r="Q32" s="10"/>
      <c r="T32" s="10"/>
      <c r="U32" s="10"/>
      <c r="X32" s="10"/>
      <c r="Y32" s="10"/>
      <c r="AB32" s="10"/>
      <c r="AC32" s="10"/>
      <c r="AF32" s="10"/>
      <c r="AG32" s="10"/>
      <c r="AJ32" s="10"/>
      <c r="AK32" s="10"/>
      <c r="AN32" s="10"/>
      <c r="AO32" s="10"/>
      <c r="AR32" s="10"/>
      <c r="AS32" s="10"/>
      <c r="AV32" s="10"/>
      <c r="AW32" s="10"/>
      <c r="AZ32" s="10"/>
      <c r="BA32" s="10"/>
      <c r="BD32" s="10"/>
      <c r="BE32" s="10"/>
      <c r="BH32" s="10"/>
      <c r="BI32" s="10"/>
      <c r="BL32" s="10"/>
      <c r="BM32" s="10"/>
      <c r="BN32">
        <f>SUMIFS($D32:$BM32,$D$9:$BM$9,$H$1)</f>
        <v>0</v>
      </c>
      <c r="BO32">
        <f>SUMIFS($D32:$BM32,$D$9:$BM$9,$H$2)</f>
        <v>0</v>
      </c>
      <c r="BP32">
        <f>BN32-BO32</f>
        <v>0</v>
      </c>
    </row>
    <row r="33" spans="2:68">
      <c r="B33" s="6" t="s">
        <v>58</v>
      </c>
      <c r="C33" s="6" t="s">
        <v>56</v>
      </c>
      <c r="D33" s="10"/>
      <c r="E33" s="10"/>
      <c r="H33" s="10"/>
      <c r="I33" s="10"/>
      <c r="L33" s="10"/>
      <c r="M33" s="10"/>
      <c r="P33" s="10"/>
      <c r="Q33" s="10"/>
      <c r="T33" s="10"/>
      <c r="U33" s="10"/>
      <c r="X33" s="10"/>
      <c r="Y33" s="10"/>
      <c r="AB33" s="10"/>
      <c r="AC33" s="10"/>
      <c r="AF33" s="10"/>
      <c r="AG33" s="10"/>
      <c r="AJ33" s="10"/>
      <c r="AK33" s="10"/>
      <c r="AN33" s="10"/>
      <c r="AO33" s="10"/>
      <c r="AR33" s="10"/>
      <c r="AS33" s="10"/>
      <c r="AV33" s="10"/>
      <c r="AW33" s="10"/>
      <c r="AZ33" s="10"/>
      <c r="BA33" s="10"/>
      <c r="BD33" s="10"/>
      <c r="BE33" s="10"/>
      <c r="BH33" s="10"/>
      <c r="BI33" s="10"/>
      <c r="BL33" s="10"/>
      <c r="BM33" s="10"/>
      <c r="BN33">
        <f>SUMIFS($D33:$BM33,$D$9:$BM$9,$H$1)</f>
        <v>0</v>
      </c>
      <c r="BO33">
        <f>SUMIFS($D33:$BM33,$D$9:$BM$9,$H$2)</f>
        <v>0</v>
      </c>
      <c r="BP33">
        <f>BN33-BO33</f>
        <v>0</v>
      </c>
    </row>
    <row r="34" spans="2:68">
      <c r="B34" s="6" t="s">
        <v>59</v>
      </c>
      <c r="C34" s="6" t="s">
        <v>56</v>
      </c>
      <c r="D34" s="10"/>
      <c r="E34" s="10"/>
      <c r="H34" s="10"/>
      <c r="I34" s="10"/>
      <c r="L34" s="10"/>
      <c r="M34" s="10"/>
      <c r="P34" s="10"/>
      <c r="Q34" s="10"/>
      <c r="T34" s="10"/>
      <c r="U34" s="10"/>
      <c r="X34" s="10"/>
      <c r="Y34" s="10"/>
      <c r="AB34" s="10"/>
      <c r="AC34" s="10"/>
      <c r="AF34" s="10"/>
      <c r="AG34" s="10"/>
      <c r="AJ34" s="10"/>
      <c r="AK34" s="10"/>
      <c r="AN34" s="10"/>
      <c r="AO34" s="10"/>
      <c r="AR34" s="10"/>
      <c r="AS34" s="10"/>
      <c r="AV34" s="10"/>
      <c r="AW34" s="10"/>
      <c r="AZ34" s="10"/>
      <c r="BA34" s="10"/>
      <c r="BD34" s="10"/>
      <c r="BE34" s="10"/>
      <c r="BH34" s="10"/>
      <c r="BI34" s="10"/>
      <c r="BL34" s="10"/>
      <c r="BM34" s="10"/>
      <c r="BN34">
        <f>SUMIFS($D34:$BM34,$D$9:$BM$9,$H$1)</f>
        <v>0</v>
      </c>
      <c r="BO34">
        <f>SUMIFS($D34:$BM34,$D$9:$BM$9,$H$2)</f>
        <v>0</v>
      </c>
      <c r="BP34">
        <f>BN34-BO34</f>
        <v>0</v>
      </c>
    </row>
    <row r="35" spans="2:68">
      <c r="B35" s="6" t="s">
        <v>60</v>
      </c>
      <c r="C35" s="6" t="s">
        <v>61</v>
      </c>
      <c r="D35" s="10"/>
      <c r="E35" s="10"/>
      <c r="H35" s="10"/>
      <c r="I35" s="10"/>
      <c r="L35" s="10"/>
      <c r="M35" s="10"/>
      <c r="P35" s="10"/>
      <c r="Q35" s="10"/>
      <c r="T35" s="10"/>
      <c r="U35" s="10"/>
      <c r="X35" s="10"/>
      <c r="Y35" s="10"/>
      <c r="AB35" s="10"/>
      <c r="AC35" s="10"/>
      <c r="AF35" s="10"/>
      <c r="AG35" s="10"/>
      <c r="AJ35" s="10"/>
      <c r="AK35" s="10"/>
      <c r="AN35" s="10"/>
      <c r="AO35" s="10"/>
      <c r="AR35" s="10"/>
      <c r="AS35" s="10"/>
      <c r="AV35" s="10"/>
      <c r="AW35" s="10"/>
      <c r="AZ35" s="10"/>
      <c r="BA35" s="10"/>
      <c r="BD35" s="10"/>
      <c r="BE35" s="10"/>
      <c r="BH35" s="10"/>
      <c r="BI35" s="10"/>
      <c r="BL35" s="10"/>
      <c r="BM35" s="10"/>
      <c r="BN35">
        <f>SUMIFS($D35:$BM35,$D$9:$BM$9,$H$1)</f>
        <v>0</v>
      </c>
      <c r="BO35">
        <f>SUMIFS($D35:$BM35,$D$9:$BM$9,$H$2)</f>
        <v>0</v>
      </c>
      <c r="BP35">
        <f>BN35-BO35</f>
        <v>0</v>
      </c>
    </row>
    <row r="36" spans="2:68">
      <c r="B36" s="6" t="s">
        <v>62</v>
      </c>
      <c r="C36" s="6" t="s">
        <v>63</v>
      </c>
      <c r="D36" s="10"/>
      <c r="E36" s="10"/>
      <c r="H36" s="10"/>
      <c r="I36" s="10"/>
      <c r="L36" s="10"/>
      <c r="M36" s="10"/>
      <c r="P36" s="10"/>
      <c r="Q36" s="10"/>
      <c r="T36" s="10"/>
      <c r="U36" s="10"/>
      <c r="X36" s="10"/>
      <c r="Y36" s="10"/>
      <c r="AB36" s="10"/>
      <c r="AC36" s="10"/>
      <c r="AF36" s="10"/>
      <c r="AG36" s="10"/>
      <c r="AJ36" s="10"/>
      <c r="AK36" s="10"/>
      <c r="AN36" s="10"/>
      <c r="AO36" s="10"/>
      <c r="AR36" s="10"/>
      <c r="AS36" s="10"/>
      <c r="AV36" s="10"/>
      <c r="AW36" s="10"/>
      <c r="AZ36" s="10"/>
      <c r="BA36" s="10"/>
      <c r="BD36" s="10"/>
      <c r="BE36" s="10"/>
      <c r="BH36" s="10"/>
      <c r="BI36" s="10"/>
      <c r="BL36" s="10"/>
      <c r="BM36" s="10"/>
      <c r="BN36">
        <f>SUMIFS($D36:$BM36,$D$9:$BM$9,$H$1)</f>
        <v>0</v>
      </c>
      <c r="BO36">
        <f>SUMIFS($D36:$BM36,$D$9:$BM$9,$H$2)</f>
        <v>0</v>
      </c>
      <c r="BP36">
        <f>BN36-BO36</f>
        <v>0</v>
      </c>
    </row>
    <row r="37" spans="2:68">
      <c r="B37" s="6" t="s">
        <v>64</v>
      </c>
      <c r="C37" s="6" t="s">
        <v>63</v>
      </c>
      <c r="D37" s="10"/>
      <c r="E37" s="10"/>
      <c r="H37" s="10"/>
      <c r="I37" s="10"/>
      <c r="L37" s="10"/>
      <c r="M37" s="10"/>
      <c r="P37" s="10"/>
      <c r="Q37" s="10"/>
      <c r="T37" s="10"/>
      <c r="U37" s="10"/>
      <c r="X37" s="10"/>
      <c r="Y37" s="10"/>
      <c r="AB37" s="10"/>
      <c r="AC37" s="10"/>
      <c r="AF37" s="10"/>
      <c r="AG37" s="10"/>
      <c r="AJ37" s="10"/>
      <c r="AK37" s="10"/>
      <c r="AN37" s="10"/>
      <c r="AO37" s="10"/>
      <c r="AR37" s="10"/>
      <c r="AS37" s="10"/>
      <c r="AV37" s="10"/>
      <c r="AW37" s="10"/>
      <c r="AZ37" s="10"/>
      <c r="BA37" s="10"/>
      <c r="BD37" s="10"/>
      <c r="BE37" s="10"/>
      <c r="BH37" s="10"/>
      <c r="BI37" s="10"/>
      <c r="BL37" s="10"/>
      <c r="BM37" s="10"/>
      <c r="BN37">
        <f>SUMIFS($D37:$BM37,$D$9:$BM$9,$H$1)</f>
        <v>0</v>
      </c>
      <c r="BO37">
        <f>SUMIFS($D37:$BM37,$D$9:$BM$9,$H$2)</f>
        <v>0</v>
      </c>
      <c r="BP37">
        <f>BN37-BO37</f>
        <v>0</v>
      </c>
    </row>
    <row r="38" spans="2:68">
      <c r="B38" s="6" t="s">
        <v>65</v>
      </c>
      <c r="C38" s="6" t="s">
        <v>66</v>
      </c>
      <c r="D38" s="10"/>
      <c r="E38" s="10"/>
      <c r="H38" s="10"/>
      <c r="I38" s="10"/>
      <c r="L38" s="10"/>
      <c r="M38" s="10"/>
      <c r="P38" s="10"/>
      <c r="Q38" s="10"/>
      <c r="T38" s="10"/>
      <c r="U38" s="10"/>
      <c r="X38" s="10"/>
      <c r="Y38" s="10"/>
      <c r="AB38" s="10"/>
      <c r="AC38" s="10"/>
      <c r="AF38" s="10"/>
      <c r="AG38" s="10"/>
      <c r="AJ38" s="10"/>
      <c r="AK38" s="10"/>
      <c r="AN38" s="10"/>
      <c r="AO38" s="10"/>
      <c r="AR38" s="10"/>
      <c r="AS38" s="10"/>
      <c r="AV38" s="10"/>
      <c r="AW38" s="10"/>
      <c r="AZ38" s="10"/>
      <c r="BA38" s="10"/>
      <c r="BD38" s="10"/>
      <c r="BE38" s="10"/>
      <c r="BH38" s="10"/>
      <c r="BI38" s="10"/>
      <c r="BL38" s="10"/>
      <c r="BM38" s="10"/>
      <c r="BN38">
        <f>SUMIFS($D38:$BM38,$D$9:$BM$9,$H$1)</f>
        <v>0</v>
      </c>
      <c r="BO38">
        <f>SUMIFS($D38:$BM38,$D$9:$BM$9,$H$2)</f>
        <v>0</v>
      </c>
      <c r="BP38">
        <f>BN38-BO38</f>
        <v>0</v>
      </c>
    </row>
    <row r="39" spans="2:68">
      <c r="B39" s="6" t="s">
        <v>67</v>
      </c>
      <c r="C39" s="6" t="s">
        <v>68</v>
      </c>
      <c r="D39" s="10"/>
      <c r="E39" s="10"/>
      <c r="H39" s="10"/>
      <c r="I39" s="10"/>
      <c r="L39" s="10"/>
      <c r="M39" s="10"/>
      <c r="P39" s="10"/>
      <c r="Q39" s="10"/>
      <c r="T39" s="10"/>
      <c r="U39" s="10"/>
      <c r="X39" s="10"/>
      <c r="Y39" s="10"/>
      <c r="AB39" s="10"/>
      <c r="AC39" s="10"/>
      <c r="AF39" s="10"/>
      <c r="AG39" s="10"/>
      <c r="AJ39" s="10"/>
      <c r="AK39" s="10"/>
      <c r="AN39" s="10"/>
      <c r="AO39" s="10"/>
      <c r="AR39" s="10"/>
      <c r="AS39" s="10"/>
      <c r="AV39" s="10"/>
      <c r="AW39" s="10"/>
      <c r="AZ39" s="10"/>
      <c r="BA39" s="10"/>
      <c r="BD39" s="10"/>
      <c r="BE39" s="10"/>
      <c r="BH39" s="10"/>
      <c r="BI39" s="10"/>
      <c r="BL39" s="10"/>
      <c r="BM39" s="10"/>
      <c r="BN39">
        <f>SUMIFS($D39:$BM39,$D$9:$BM$9,$H$1)</f>
        <v>0</v>
      </c>
      <c r="BO39">
        <f>SUMIFS($D39:$BM39,$D$9:$BM$9,$H$2)</f>
        <v>0</v>
      </c>
      <c r="BP39">
        <f>BN39-BO39</f>
        <v>0</v>
      </c>
    </row>
    <row r="40" spans="2:68">
      <c r="B40" s="6" t="s">
        <v>69</v>
      </c>
      <c r="C40" s="6" t="s">
        <v>70</v>
      </c>
      <c r="D40" s="10"/>
      <c r="E40" s="10"/>
      <c r="H40" s="10"/>
      <c r="I40" s="10"/>
      <c r="L40" s="10"/>
      <c r="M40" s="10"/>
      <c r="P40" s="10"/>
      <c r="Q40" s="10"/>
      <c r="T40" s="10"/>
      <c r="U40" s="10"/>
      <c r="X40" s="10"/>
      <c r="Y40" s="10"/>
      <c r="AB40" s="10"/>
      <c r="AC40" s="10"/>
      <c r="AF40" s="10"/>
      <c r="AG40" s="10"/>
      <c r="AJ40" s="10"/>
      <c r="AK40" s="10"/>
      <c r="AN40" s="10"/>
      <c r="AO40" s="10"/>
      <c r="AR40" s="10"/>
      <c r="AS40" s="10"/>
      <c r="AV40" s="10"/>
      <c r="AW40" s="10"/>
      <c r="AZ40" s="10"/>
      <c r="BA40" s="10"/>
      <c r="BD40" s="10"/>
      <c r="BE40" s="10"/>
      <c r="BH40" s="10"/>
      <c r="BI40" s="10"/>
      <c r="BL40" s="10"/>
      <c r="BM40" s="10"/>
      <c r="BN40">
        <f>SUMIFS($D40:$BM40,$D$9:$BM$9,$H$1)</f>
        <v>0</v>
      </c>
      <c r="BO40">
        <f>SUMIFS($D40:$BM40,$D$9:$BM$9,$H$2)</f>
        <v>0</v>
      </c>
      <c r="BP40">
        <f>BN40-BO40</f>
        <v>0</v>
      </c>
    </row>
    <row r="41" spans="2:68">
      <c r="B41" s="6" t="s">
        <v>71</v>
      </c>
      <c r="C41" s="6" t="s">
        <v>72</v>
      </c>
      <c r="D41" s="10"/>
      <c r="E41" s="10"/>
      <c r="H41" s="10"/>
      <c r="I41" s="10"/>
      <c r="L41" s="10"/>
      <c r="M41" s="10"/>
      <c r="P41" s="10"/>
      <c r="Q41" s="10"/>
      <c r="T41" s="10"/>
      <c r="U41" s="10"/>
      <c r="X41" s="10"/>
      <c r="Y41" s="10"/>
      <c r="AB41" s="10"/>
      <c r="AC41" s="10"/>
      <c r="AF41" s="10"/>
      <c r="AG41" s="10"/>
      <c r="AJ41" s="10"/>
      <c r="AK41" s="10"/>
      <c r="AN41" s="10"/>
      <c r="AO41" s="10"/>
      <c r="AR41" s="10"/>
      <c r="AS41" s="10"/>
      <c r="AV41" s="10"/>
      <c r="AW41" s="10"/>
      <c r="AZ41" s="10"/>
      <c r="BA41" s="10"/>
      <c r="BD41" s="10"/>
      <c r="BE41" s="10"/>
      <c r="BH41" s="10"/>
      <c r="BI41" s="10"/>
      <c r="BL41" s="10"/>
      <c r="BM41" s="10"/>
      <c r="BN41">
        <f>SUMIFS($D41:$BM41,$D$9:$BM$9,$H$1)</f>
        <v>0</v>
      </c>
      <c r="BO41">
        <f>SUMIFS($D41:$BM41,$D$9:$BM$9,$H$2)</f>
        <v>0</v>
      </c>
      <c r="BP41">
        <f>BN41-BO41</f>
        <v>0</v>
      </c>
    </row>
    <row r="42" spans="2:68">
      <c r="B42" s="6" t="s">
        <v>73</v>
      </c>
      <c r="C42" s="6" t="s">
        <v>74</v>
      </c>
      <c r="D42" s="10"/>
      <c r="E42" s="10"/>
      <c r="H42" s="10"/>
      <c r="I42" s="10"/>
      <c r="L42" s="10"/>
      <c r="M42" s="10"/>
      <c r="P42" s="10"/>
      <c r="Q42" s="10"/>
      <c r="T42" s="10"/>
      <c r="U42" s="10"/>
      <c r="X42" s="10"/>
      <c r="Y42" s="10"/>
      <c r="AB42" s="10"/>
      <c r="AC42" s="10"/>
      <c r="AF42" s="10"/>
      <c r="AG42" s="10"/>
      <c r="AJ42" s="10"/>
      <c r="AK42" s="10"/>
      <c r="AN42" s="10"/>
      <c r="AO42" s="10"/>
      <c r="AR42" s="10"/>
      <c r="AS42" s="10"/>
      <c r="AV42" s="10"/>
      <c r="AW42" s="10"/>
      <c r="AZ42" s="10"/>
      <c r="BA42" s="10"/>
      <c r="BD42" s="10"/>
      <c r="BE42" s="10"/>
      <c r="BH42" s="10"/>
      <c r="BI42" s="10"/>
      <c r="BL42" s="10"/>
      <c r="BM42" s="10"/>
      <c r="BN42">
        <f>SUMIFS($D42:$BM42,$D$9:$BM$9,$H$1)</f>
        <v>0</v>
      </c>
      <c r="BO42">
        <f>SUMIFS($D42:$BM42,$D$9:$BM$9,$H$2)</f>
        <v>0</v>
      </c>
      <c r="BP42">
        <f>BN42-BO42</f>
        <v>0</v>
      </c>
    </row>
    <row r="43" spans="2:68">
      <c r="B43" s="6" t="s">
        <v>75</v>
      </c>
      <c r="C43" s="6" t="s">
        <v>76</v>
      </c>
      <c r="D43" s="10"/>
      <c r="E43" s="10"/>
      <c r="H43" s="10"/>
      <c r="I43" s="10"/>
      <c r="L43" s="10"/>
      <c r="M43" s="10"/>
      <c r="P43" s="10"/>
      <c r="Q43" s="10"/>
      <c r="T43" s="10"/>
      <c r="U43" s="10"/>
      <c r="X43" s="10"/>
      <c r="Y43" s="10"/>
      <c r="AB43" s="10"/>
      <c r="AC43" s="10"/>
      <c r="AF43" s="10"/>
      <c r="AG43" s="10"/>
      <c r="AJ43" s="10"/>
      <c r="AK43" s="10"/>
      <c r="AN43" s="10"/>
      <c r="AO43" s="10"/>
      <c r="AR43" s="10"/>
      <c r="AS43" s="10"/>
      <c r="AV43" s="10"/>
      <c r="AW43" s="10"/>
      <c r="AZ43" s="10"/>
      <c r="BA43" s="10"/>
      <c r="BD43" s="10"/>
      <c r="BE43" s="10"/>
      <c r="BH43" s="10"/>
      <c r="BI43" s="10"/>
      <c r="BL43" s="10"/>
      <c r="BM43" s="10"/>
      <c r="BN43">
        <f>SUMIFS($D43:$BM43,$D$9:$BM$9,$H$1)</f>
        <v>0</v>
      </c>
      <c r="BO43">
        <f>SUMIFS($D43:$BM43,$D$9:$BM$9,$H$2)</f>
        <v>0</v>
      </c>
      <c r="BP43">
        <f>BN43-BO43</f>
        <v>0</v>
      </c>
    </row>
    <row r="44" spans="2:68">
      <c r="B44" s="6" t="s">
        <v>77</v>
      </c>
      <c r="C44" s="6" t="s">
        <v>78</v>
      </c>
      <c r="D44" s="10"/>
      <c r="E44" s="10"/>
      <c r="H44" s="10"/>
      <c r="I44" s="10"/>
      <c r="L44" s="10"/>
      <c r="M44" s="10"/>
      <c r="P44" s="10"/>
      <c r="Q44" s="10"/>
      <c r="T44" s="10"/>
      <c r="U44" s="10"/>
      <c r="X44" s="10"/>
      <c r="Y44" s="10"/>
      <c r="AB44" s="10"/>
      <c r="AC44" s="10"/>
      <c r="AF44" s="10"/>
      <c r="AG44" s="10"/>
      <c r="AJ44" s="10"/>
      <c r="AK44" s="10"/>
      <c r="AN44" s="10"/>
      <c r="AO44" s="10"/>
      <c r="AR44" s="10"/>
      <c r="AS44" s="10"/>
      <c r="AV44" s="10"/>
      <c r="AW44" s="10"/>
      <c r="AZ44" s="10"/>
      <c r="BA44" s="10"/>
      <c r="BD44" s="10"/>
      <c r="BE44" s="10"/>
      <c r="BH44" s="10"/>
      <c r="BI44" s="10"/>
      <c r="BL44" s="10"/>
      <c r="BM44" s="10"/>
      <c r="BN44">
        <f>SUMIFS($D44:$BM44,$D$9:$BM$9,$H$1)</f>
        <v>0</v>
      </c>
      <c r="BO44">
        <f>SUMIFS($D44:$BM44,$D$9:$BM$9,$H$2)</f>
        <v>0</v>
      </c>
      <c r="BP44">
        <f>BN44-BO44</f>
        <v>0</v>
      </c>
    </row>
    <row r="45" spans="2:68">
      <c r="B45" s="6" t="s">
        <v>79</v>
      </c>
      <c r="C45" s="6" t="s">
        <v>78</v>
      </c>
      <c r="D45" s="10"/>
      <c r="E45" s="10"/>
      <c r="H45" s="10"/>
      <c r="I45" s="10"/>
      <c r="L45" s="10"/>
      <c r="M45" s="10"/>
      <c r="P45" s="10"/>
      <c r="Q45" s="10"/>
      <c r="T45" s="10"/>
      <c r="U45" s="10"/>
      <c r="X45" s="10"/>
      <c r="Y45" s="10"/>
      <c r="AB45" s="10"/>
      <c r="AC45" s="10"/>
      <c r="AF45" s="10"/>
      <c r="AG45" s="10"/>
      <c r="AJ45" s="10"/>
      <c r="AK45" s="10"/>
      <c r="AN45" s="10"/>
      <c r="AO45" s="10"/>
      <c r="AR45" s="10"/>
      <c r="AS45" s="10"/>
      <c r="AV45" s="10"/>
      <c r="AW45" s="10"/>
      <c r="AZ45" s="10"/>
      <c r="BA45" s="10"/>
      <c r="BD45" s="10"/>
      <c r="BE45" s="10"/>
      <c r="BH45" s="10"/>
      <c r="BI45" s="10"/>
      <c r="BL45" s="10"/>
      <c r="BM45" s="10"/>
      <c r="BN45">
        <f>SUMIFS($D45:$BM45,$D$9:$BM$9,$H$1)</f>
        <v>0</v>
      </c>
      <c r="BO45">
        <f>SUMIFS($D45:$BM45,$D$9:$BM$9,$H$2)</f>
        <v>0</v>
      </c>
      <c r="BP45">
        <f>BN45-BO45</f>
        <v>0</v>
      </c>
    </row>
    <row r="46" spans="2:68">
      <c r="B46" s="6" t="s">
        <v>80</v>
      </c>
      <c r="C46" s="6" t="s">
        <v>81</v>
      </c>
      <c r="D46" s="10"/>
      <c r="E46" s="10"/>
      <c r="H46" s="10"/>
      <c r="I46" s="10"/>
      <c r="L46" s="10"/>
      <c r="M46" s="10"/>
      <c r="P46" s="10"/>
      <c r="Q46" s="10"/>
      <c r="T46" s="10"/>
      <c r="U46" s="10"/>
      <c r="X46" s="10"/>
      <c r="Y46" s="10"/>
      <c r="AB46" s="10"/>
      <c r="AC46" s="10"/>
      <c r="AF46" s="10"/>
      <c r="AG46" s="10"/>
      <c r="AJ46" s="10"/>
      <c r="AK46" s="10"/>
      <c r="AN46" s="10"/>
      <c r="AO46" s="10"/>
      <c r="AR46" s="10"/>
      <c r="AS46" s="10"/>
      <c r="AV46" s="10"/>
      <c r="AW46" s="10"/>
      <c r="AZ46" s="10"/>
      <c r="BA46" s="10"/>
      <c r="BD46" s="10"/>
      <c r="BE46" s="10"/>
      <c r="BH46" s="10"/>
      <c r="BI46" s="10"/>
      <c r="BL46" s="10"/>
      <c r="BM46" s="10"/>
      <c r="BN46">
        <f>SUMIFS($D46:$BM46,$D$9:$BM$9,$H$1)</f>
        <v>0</v>
      </c>
      <c r="BO46">
        <f>SUMIFS($D46:$BM46,$D$9:$BM$9,$H$2)</f>
        <v>0</v>
      </c>
      <c r="BP46">
        <f>BN46-BO46</f>
        <v>0</v>
      </c>
    </row>
    <row r="47" spans="2:68">
      <c r="B47" s="6" t="s">
        <v>82</v>
      </c>
      <c r="C47" s="6" t="s">
        <v>81</v>
      </c>
      <c r="D47" s="10"/>
      <c r="E47" s="10"/>
      <c r="H47" s="10"/>
      <c r="I47" s="10"/>
      <c r="L47" s="10"/>
      <c r="M47" s="10"/>
      <c r="P47" s="10"/>
      <c r="Q47" s="10"/>
      <c r="T47" s="10"/>
      <c r="U47" s="10"/>
      <c r="X47" s="10"/>
      <c r="Y47" s="10"/>
      <c r="AB47" s="10"/>
      <c r="AC47" s="10"/>
      <c r="AF47" s="10"/>
      <c r="AG47" s="10"/>
      <c r="AJ47" s="10"/>
      <c r="AK47" s="10"/>
      <c r="AN47" s="10"/>
      <c r="AO47" s="10"/>
      <c r="AR47" s="10"/>
      <c r="AS47" s="10"/>
      <c r="AV47" s="10"/>
      <c r="AW47" s="10"/>
      <c r="AZ47" s="10"/>
      <c r="BA47" s="10"/>
      <c r="BD47" s="10"/>
      <c r="BE47" s="10"/>
      <c r="BH47" s="10"/>
      <c r="BI47" s="10"/>
      <c r="BL47" s="10"/>
      <c r="BM47" s="10"/>
      <c r="BN47">
        <f>SUMIFS($D47:$BM47,$D$9:$BM$9,$H$1)</f>
        <v>0</v>
      </c>
      <c r="BO47">
        <f>SUMIFS($D47:$BM47,$D$9:$BM$9,$H$2)</f>
        <v>0</v>
      </c>
      <c r="BP47">
        <f>BN47-BO47</f>
        <v>0</v>
      </c>
    </row>
    <row r="48" spans="2:68">
      <c r="B48" s="6" t="s">
        <v>83</v>
      </c>
      <c r="C48" s="6" t="s">
        <v>84</v>
      </c>
      <c r="D48" s="15"/>
      <c r="E48" s="15"/>
      <c r="F48" s="9"/>
      <c r="G48" s="9"/>
      <c r="H48" s="15"/>
      <c r="I48" s="15"/>
      <c r="J48" s="9"/>
      <c r="K48" s="9"/>
      <c r="L48" s="15"/>
      <c r="M48" s="15"/>
      <c r="N48" s="9"/>
      <c r="O48" s="9"/>
      <c r="P48" s="15"/>
      <c r="Q48" s="15"/>
      <c r="R48" s="9"/>
      <c r="S48" s="9"/>
      <c r="T48" s="15"/>
      <c r="U48" s="15"/>
      <c r="V48" s="9"/>
      <c r="W48" s="9"/>
      <c r="X48" s="15"/>
      <c r="Y48" s="15"/>
      <c r="Z48" s="9"/>
      <c r="AA48" s="9"/>
      <c r="AB48" s="15"/>
      <c r="AC48" s="15"/>
      <c r="AD48" s="9"/>
      <c r="AE48" s="9"/>
      <c r="AF48" s="15"/>
      <c r="AG48" s="15"/>
      <c r="AH48" s="9"/>
      <c r="AI48" s="9"/>
      <c r="AJ48" s="15"/>
      <c r="AK48" s="15"/>
      <c r="AL48" s="9"/>
      <c r="AM48" s="9"/>
      <c r="AN48" s="15"/>
      <c r="AO48" s="15"/>
      <c r="AP48" s="9"/>
      <c r="AQ48" s="9"/>
      <c r="AR48" s="15"/>
      <c r="AS48" s="15"/>
      <c r="AT48" s="9"/>
      <c r="AU48" s="9"/>
      <c r="AV48" s="15"/>
      <c r="AW48" s="15"/>
      <c r="AX48" s="9"/>
      <c r="AY48" s="9"/>
      <c r="AZ48" s="15"/>
      <c r="BA48" s="15"/>
      <c r="BB48" s="9"/>
      <c r="BC48" s="9"/>
      <c r="BD48" s="15"/>
      <c r="BE48" s="15"/>
      <c r="BF48" s="9"/>
      <c r="BG48" s="9"/>
      <c r="BH48" s="15"/>
      <c r="BI48" s="15"/>
      <c r="BJ48" s="9"/>
      <c r="BK48" s="9"/>
      <c r="BL48" s="15"/>
      <c r="BM48" s="15"/>
      <c r="BN48">
        <f>SUMIFS($D48:$BM48,$D$9:$BM$9,$H$1)</f>
        <v>0</v>
      </c>
      <c r="BO48">
        <f>SUMIFS($D48:$BM48,$D$9:$BM$9,$H$2)</f>
        <v>0</v>
      </c>
      <c r="BP48">
        <f>BN48-BO48</f>
        <v>0</v>
      </c>
    </row>
    <row r="49" spans="2:68">
      <c r="B49" s="6" t="s">
        <v>85</v>
      </c>
      <c r="C49" s="6" t="s">
        <v>86</v>
      </c>
      <c r="D49" s="10"/>
      <c r="E49" s="10"/>
      <c r="H49" s="10"/>
      <c r="I49" s="10"/>
      <c r="L49" s="10"/>
      <c r="M49" s="10"/>
      <c r="P49" s="10"/>
      <c r="Q49" s="10"/>
      <c r="T49" s="10"/>
      <c r="U49" s="10"/>
      <c r="X49" s="10"/>
      <c r="Y49" s="10"/>
      <c r="AB49" s="10"/>
      <c r="AC49" s="10"/>
      <c r="AF49" s="10"/>
      <c r="AG49" s="10"/>
      <c r="AJ49" s="10"/>
      <c r="AK49" s="10"/>
      <c r="AN49" s="10"/>
      <c r="AO49" s="10"/>
      <c r="AR49" s="10"/>
      <c r="AS49" s="10"/>
      <c r="AV49" s="10"/>
      <c r="AW49" s="10"/>
      <c r="AZ49" s="10"/>
      <c r="BA49" s="10"/>
      <c r="BD49" s="10"/>
      <c r="BE49" s="10"/>
      <c r="BH49" s="10"/>
      <c r="BI49" s="10"/>
      <c r="BL49" s="10"/>
      <c r="BM49" s="10"/>
      <c r="BN49">
        <f>SUMIFS($D49:$BM49,$D$9:$BM$9,$H$1)</f>
        <v>0</v>
      </c>
      <c r="BO49">
        <f>SUMIFS($D49:$BM49,$D$9:$BM$9,$H$2)</f>
        <v>0</v>
      </c>
      <c r="BP49">
        <f>BN49-BO49</f>
        <v>0</v>
      </c>
    </row>
    <row r="50" spans="2:68">
      <c r="B50" s="6" t="s">
        <v>87</v>
      </c>
      <c r="C50" s="6" t="s">
        <v>88</v>
      </c>
      <c r="BN50">
        <f>SUMIFS($D50:$BM50,$D$9:$BM$9,$H$1)</f>
        <v>0</v>
      </c>
      <c r="BO50">
        <f>SUMIFS($D50:$BM50,$D$9:$BM$9,$H$2)</f>
        <v>0</v>
      </c>
      <c r="BP50">
        <f>BN50-BO50</f>
        <v>0</v>
      </c>
    </row>
    <row r="51" spans="2:68">
      <c r="B51" s="6" t="s">
        <v>89</v>
      </c>
      <c r="C51" s="6" t="s">
        <v>88</v>
      </c>
      <c r="BN51">
        <f>SUMIFS($D51:$BM51,$D$9:$BM$9,$H$1)</f>
        <v>0</v>
      </c>
      <c r="BO51">
        <f>SUMIFS($D51:$BM51,$D$9:$BM$9,$H$2)</f>
        <v>0</v>
      </c>
      <c r="BP51">
        <f>BN51-BO51</f>
        <v>0</v>
      </c>
    </row>
    <row r="52" spans="2:68">
      <c r="B52" s="6" t="s">
        <v>90</v>
      </c>
      <c r="C52" s="6" t="s">
        <v>91</v>
      </c>
      <c r="BN52">
        <f>SUMIFS($D52:$BM52,$D$9:$BM$9,$H$1)</f>
        <v>0</v>
      </c>
      <c r="BO52">
        <f>SUMIFS($D52:$BM52,$D$9:$BM$9,$H$2)</f>
        <v>0</v>
      </c>
      <c r="BP52">
        <f>BN52-BO52</f>
        <v>0</v>
      </c>
    </row>
    <row r="53" spans="2:68">
      <c r="B53" s="6" t="s">
        <v>92</v>
      </c>
      <c r="C53" s="6" t="s">
        <v>91</v>
      </c>
      <c r="BN53">
        <f>SUMIFS($D53:$BM53,$D$9:$BM$9,$H$1)</f>
        <v>0</v>
      </c>
      <c r="BO53">
        <f>SUMIFS($D53:$BM53,$D$9:$BM$9,$H$2)</f>
        <v>0</v>
      </c>
      <c r="BP53">
        <f>BN53-BO53</f>
        <v>0</v>
      </c>
    </row>
    <row r="54" spans="2:68">
      <c r="B54" s="6" t="s">
        <v>93</v>
      </c>
      <c r="C54" s="6" t="s">
        <v>94</v>
      </c>
      <c r="BN54">
        <f>SUMIFS($D54:$BM54,$D$9:$BM$9,$H$1)</f>
        <v>0</v>
      </c>
      <c r="BO54">
        <f>SUMIFS($D54:$BM54,$D$9:$BM$9,$H$2)</f>
        <v>0</v>
      </c>
      <c r="BP54">
        <f>BN54-BO54</f>
        <v>0</v>
      </c>
    </row>
    <row r="55" spans="2:68">
      <c r="B55" s="6" t="s">
        <v>95</v>
      </c>
      <c r="C55" s="6" t="s">
        <v>94</v>
      </c>
      <c r="BN55">
        <f>SUMIFS($D55:$BM55,$D$9:$BM$9,$H$1)</f>
        <v>0</v>
      </c>
      <c r="BO55">
        <f>SUMIFS($D55:$BM55,$D$9:$BM$9,$H$2)</f>
        <v>0</v>
      </c>
      <c r="BP55">
        <f>BN55-BO55</f>
        <v>0</v>
      </c>
    </row>
    <row r="56" spans="2:68">
      <c r="B56" s="6" t="s">
        <v>96</v>
      </c>
      <c r="C56" s="6" t="s">
        <v>97</v>
      </c>
      <c r="BN56">
        <f>SUMIFS($D56:$BM56,$D$9:$BM$9,$H$1)</f>
        <v>0</v>
      </c>
      <c r="BO56">
        <f>SUMIFS($D56:$BM56,$D$9:$BM$9,$H$2)</f>
        <v>0</v>
      </c>
      <c r="BP56">
        <f>BN56-BO56</f>
        <v>0</v>
      </c>
    </row>
    <row r="57" spans="2:68">
      <c r="B57" s="6" t="s">
        <v>98</v>
      </c>
      <c r="C57" s="6" t="s">
        <v>99</v>
      </c>
      <c r="BN57">
        <f>SUMIFS($D57:$BM57,$D$9:$BM$9,$H$1)</f>
        <v>0</v>
      </c>
      <c r="BO57">
        <f>SUMIFS($D57:$BM57,$D$9:$BM$9,$H$2)</f>
        <v>0</v>
      </c>
      <c r="BP57">
        <f>BN57-BO57</f>
        <v>0</v>
      </c>
    </row>
  </sheetData>
  <sortState xmlns:xlrd2="http://schemas.microsoft.com/office/spreadsheetml/2017/richdata2" ref="B10:BP57">
    <sortCondition descending="1" ref="BP10:BP57"/>
  </sortState>
  <mergeCells count="93">
    <mergeCell ref="AP7:AQ7"/>
    <mergeCell ref="AR7:AS7"/>
    <mergeCell ref="AT7:AU7"/>
    <mergeCell ref="AV7:AW7"/>
    <mergeCell ref="BL7:BM7"/>
    <mergeCell ref="AZ7:BA7"/>
    <mergeCell ref="BB7:BC7"/>
    <mergeCell ref="BD7:BE7"/>
    <mergeCell ref="BF7:BG7"/>
    <mergeCell ref="BH7:BI7"/>
    <mergeCell ref="BJ7:BK7"/>
    <mergeCell ref="P7:Q7"/>
    <mergeCell ref="R7:S7"/>
    <mergeCell ref="T7:U7"/>
    <mergeCell ref="V7:W7"/>
    <mergeCell ref="X7:Y7"/>
    <mergeCell ref="Z7:AA7"/>
    <mergeCell ref="BF6:BG6"/>
    <mergeCell ref="BH6:BI6"/>
    <mergeCell ref="BJ6:BK6"/>
    <mergeCell ref="BL6:BM6"/>
    <mergeCell ref="BB6:BC6"/>
    <mergeCell ref="BD6:BE6"/>
    <mergeCell ref="AF6:AG6"/>
    <mergeCell ref="AX7:AY7"/>
    <mergeCell ref="AB7:AC7"/>
    <mergeCell ref="AD7:AE7"/>
    <mergeCell ref="AF7:AG7"/>
    <mergeCell ref="AH7:AI7"/>
    <mergeCell ref="AJ7:AK7"/>
    <mergeCell ref="AL7:AM7"/>
    <mergeCell ref="AN7:AO7"/>
    <mergeCell ref="D7:E7"/>
    <mergeCell ref="F7:G7"/>
    <mergeCell ref="H7:I7"/>
    <mergeCell ref="J7:K7"/>
    <mergeCell ref="L7:M7"/>
    <mergeCell ref="N7:O7"/>
    <mergeCell ref="AT6:AU6"/>
    <mergeCell ref="AV6:AW6"/>
    <mergeCell ref="AX6:AY6"/>
    <mergeCell ref="AZ6:BA6"/>
    <mergeCell ref="AH6:AI6"/>
    <mergeCell ref="AJ6:AK6"/>
    <mergeCell ref="AL6:AM6"/>
    <mergeCell ref="AN6:AO6"/>
    <mergeCell ref="AP6:AQ6"/>
    <mergeCell ref="AR6:AS6"/>
    <mergeCell ref="V6:W6"/>
    <mergeCell ref="X6:Y6"/>
    <mergeCell ref="Z6:AA6"/>
    <mergeCell ref="AB6:AC6"/>
    <mergeCell ref="AD6:AE6"/>
    <mergeCell ref="BL5:BM5"/>
    <mergeCell ref="D6:E6"/>
    <mergeCell ref="F6:G6"/>
    <mergeCell ref="H6:I6"/>
    <mergeCell ref="J6:K6"/>
    <mergeCell ref="L6:M6"/>
    <mergeCell ref="N6:O6"/>
    <mergeCell ref="P6:Q6"/>
    <mergeCell ref="R6:S6"/>
    <mergeCell ref="T6:U6"/>
    <mergeCell ref="AZ5:BA5"/>
    <mergeCell ref="BB5:BC5"/>
    <mergeCell ref="BD5:BE5"/>
    <mergeCell ref="BF5:BG5"/>
    <mergeCell ref="BH5:BI5"/>
    <mergeCell ref="BJ5:BK5"/>
    <mergeCell ref="AX5:AY5"/>
    <mergeCell ref="AB5:AC5"/>
    <mergeCell ref="AD5:AE5"/>
    <mergeCell ref="AF5:AG5"/>
    <mergeCell ref="AH5:AI5"/>
    <mergeCell ref="AJ5:AK5"/>
    <mergeCell ref="AL5:AM5"/>
    <mergeCell ref="AN5:AO5"/>
    <mergeCell ref="AP5:AQ5"/>
    <mergeCell ref="AR5:AS5"/>
    <mergeCell ref="AT5:AU5"/>
    <mergeCell ref="AV5:AW5"/>
    <mergeCell ref="Z5:AA5"/>
    <mergeCell ref="D5:E5"/>
    <mergeCell ref="F5:G5"/>
    <mergeCell ref="H5:I5"/>
    <mergeCell ref="J5:K5"/>
    <mergeCell ref="L5:M5"/>
    <mergeCell ref="N5:O5"/>
    <mergeCell ref="P5:Q5"/>
    <mergeCell ref="R5:S5"/>
    <mergeCell ref="T5:U5"/>
    <mergeCell ref="V5:W5"/>
    <mergeCell ref="X5:Y5"/>
  </mergeCells>
  <conditionalFormatting sqref="A9:XFD9">
    <cfRule type="cellIs" dxfId="26" priority="3" operator="equal">
      <formula>"J"</formula>
    </cfRule>
    <cfRule type="cellIs" dxfId="25" priority="4" operator="equal">
      <formula>"A"</formula>
    </cfRule>
  </conditionalFormatting>
  <conditionalFormatting sqref="B10:BP60">
    <cfRule type="expression" dxfId="24" priority="2">
      <formula>MOD(ROW(),2)</formula>
    </cfRule>
  </conditionalFormatting>
  <conditionalFormatting sqref="BP10:BP57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{340ED9B8-1E15-4BE2-8A18-D06561D90C7A}</x14:id>
        </ext>
      </extLst>
    </cfRule>
  </conditionalFormatting>
  <dataValidations count="1">
    <dataValidation type="whole" allowBlank="1" showInputMessage="1" showErrorMessage="1" error="Attention: Entier compris entre 0 et 12 !" sqref="D10:BM49" xr:uid="{A9C8F284-3ECE-4923-9583-07171B1E5116}">
      <formula1>0</formula1>
      <formula2>12</formula2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130" orientation="portrait" r:id="rId1"/>
  <headerFooter>
    <oddFooter>&amp;L&amp;D - &amp;T&amp;RMois de &amp;A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40ED9B8-1E15-4BE2-8A18-D06561D90C7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BP10:BP57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549D2-5155-43F2-B95F-3928B943EFDF}">
  <sheetPr codeName="Feuil7"/>
  <dimension ref="B1:BQ57"/>
  <sheetViews>
    <sheetView showGridLines="0" showRowColHeaders="0" zoomScaleNormal="100" workbookViewId="0">
      <pane xSplit="3" ySplit="9" topLeftCell="AI10" activePane="bottomRight" state="frozen"/>
      <selection pane="bottomRight" activeCell="BN6" sqref="BN6:BP6"/>
      <selection pane="bottomLeft" activeCell="CC17" sqref="CC17"/>
      <selection pane="topRight" activeCell="CC17" sqref="CC17"/>
    </sheetView>
  </sheetViews>
  <sheetFormatPr defaultColWidth="11.42578125" defaultRowHeight="15"/>
  <cols>
    <col min="1" max="1" width="2.42578125" customWidth="1"/>
    <col min="2" max="2" width="32.140625" style="6" customWidth="1"/>
    <col min="3" max="3" width="22.42578125" style="6" customWidth="1"/>
    <col min="4" max="65" width="3.7109375" customWidth="1"/>
    <col min="66" max="66" width="4.42578125" bestFit="1" customWidth="1"/>
    <col min="67" max="67" width="4.28515625" customWidth="1"/>
    <col min="68" max="68" width="7.42578125" bestFit="1" customWidth="1"/>
    <col min="69" max="69" width="7.7109375" customWidth="1"/>
    <col min="70" max="105" width="3.7109375" customWidth="1"/>
  </cols>
  <sheetData>
    <row r="1" spans="2:69">
      <c r="H1" s="4" t="s">
        <v>0</v>
      </c>
      <c r="I1" t="s">
        <v>1</v>
      </c>
      <c r="N1" t="s">
        <v>2</v>
      </c>
      <c r="O1" t="s">
        <v>3</v>
      </c>
    </row>
    <row r="2" spans="2:69">
      <c r="H2" s="5" t="s">
        <v>4</v>
      </c>
      <c r="I2" t="s">
        <v>5</v>
      </c>
      <c r="N2" t="s">
        <v>6</v>
      </c>
      <c r="O2" t="s">
        <v>7</v>
      </c>
    </row>
    <row r="3" spans="2:69">
      <c r="N3" t="s">
        <v>8</v>
      </c>
      <c r="O3" t="s">
        <v>9</v>
      </c>
    </row>
    <row r="4" spans="2:69">
      <c r="B4" s="12"/>
      <c r="C4" s="12"/>
    </row>
    <row r="5" spans="2:69" s="2" customFormat="1">
      <c r="B5" s="13"/>
      <c r="C5" s="13"/>
      <c r="D5" s="45">
        <v>1</v>
      </c>
      <c r="E5" s="45"/>
      <c r="F5" s="45">
        <v>2</v>
      </c>
      <c r="G5" s="45"/>
      <c r="H5" s="45">
        <v>3</v>
      </c>
      <c r="I5" s="45"/>
      <c r="J5" s="45">
        <v>4</v>
      </c>
      <c r="K5" s="45"/>
      <c r="L5" s="45">
        <v>5</v>
      </c>
      <c r="M5" s="45"/>
      <c r="N5" s="45">
        <v>6</v>
      </c>
      <c r="O5" s="45"/>
      <c r="P5" s="45">
        <v>7</v>
      </c>
      <c r="Q5" s="45"/>
      <c r="R5" s="45">
        <v>8</v>
      </c>
      <c r="S5" s="45"/>
      <c r="T5" s="45">
        <v>9</v>
      </c>
      <c r="U5" s="45"/>
      <c r="V5" s="45">
        <v>10</v>
      </c>
      <c r="W5" s="45"/>
      <c r="X5" s="45">
        <v>11</v>
      </c>
      <c r="Y5" s="45"/>
      <c r="Z5" s="45">
        <v>12</v>
      </c>
      <c r="AA5" s="45"/>
      <c r="AB5" s="45">
        <v>13</v>
      </c>
      <c r="AC5" s="45"/>
      <c r="AD5" s="45">
        <v>14</v>
      </c>
      <c r="AE5" s="45"/>
      <c r="AF5" s="45">
        <v>15</v>
      </c>
      <c r="AG5" s="45"/>
      <c r="AH5" s="45">
        <v>16</v>
      </c>
      <c r="AI5" s="45"/>
      <c r="AJ5" s="45">
        <v>17</v>
      </c>
      <c r="AK5" s="45"/>
      <c r="AL5" s="45">
        <v>18</v>
      </c>
      <c r="AM5" s="45"/>
      <c r="AN5" s="45">
        <v>19</v>
      </c>
      <c r="AO5" s="45"/>
      <c r="AP5" s="45">
        <v>20</v>
      </c>
      <c r="AQ5" s="45"/>
      <c r="AR5" s="45">
        <v>21</v>
      </c>
      <c r="AS5" s="45"/>
      <c r="AT5" s="45">
        <v>22</v>
      </c>
      <c r="AU5" s="45"/>
      <c r="AV5" s="45">
        <v>23</v>
      </c>
      <c r="AW5" s="45"/>
      <c r="AX5" s="45">
        <v>24</v>
      </c>
      <c r="AY5" s="45"/>
      <c r="AZ5" s="45">
        <v>25</v>
      </c>
      <c r="BA5" s="45"/>
      <c r="BB5" s="45">
        <v>26</v>
      </c>
      <c r="BC5" s="45"/>
      <c r="BD5" s="45">
        <v>27</v>
      </c>
      <c r="BE5" s="45"/>
      <c r="BF5" s="45">
        <v>28</v>
      </c>
      <c r="BG5" s="45"/>
      <c r="BH5" s="45">
        <v>29</v>
      </c>
      <c r="BI5" s="45"/>
      <c r="BJ5" s="45">
        <v>30</v>
      </c>
      <c r="BK5" s="45"/>
      <c r="BL5" s="45">
        <v>31</v>
      </c>
      <c r="BM5" s="45"/>
      <c r="BQ5" s="6" t="s">
        <v>10</v>
      </c>
    </row>
    <row r="6" spans="2:69">
      <c r="D6" s="49" t="str">
        <f t="shared" ref="D6:BL6" si="0">TEXT(WEEKDAY(DATE($BQ$6,5,D$5),1),"jjj")</f>
        <v>ven.</v>
      </c>
      <c r="E6" s="49"/>
      <c r="F6" s="49" t="str">
        <f t="shared" si="0"/>
        <v>sam.</v>
      </c>
      <c r="G6" s="49"/>
      <c r="H6" s="49" t="str">
        <f t="shared" si="0"/>
        <v>dim.</v>
      </c>
      <c r="I6" s="49"/>
      <c r="J6" s="49" t="str">
        <f t="shared" si="0"/>
        <v>lun.</v>
      </c>
      <c r="K6" s="49"/>
      <c r="L6" s="49" t="str">
        <f t="shared" si="0"/>
        <v>mar.</v>
      </c>
      <c r="M6" s="49"/>
      <c r="N6" s="49" t="str">
        <f t="shared" si="0"/>
        <v>mer.</v>
      </c>
      <c r="O6" s="49"/>
      <c r="P6" s="49" t="str">
        <f t="shared" si="0"/>
        <v>jeu.</v>
      </c>
      <c r="Q6" s="49"/>
      <c r="R6" s="49" t="str">
        <f t="shared" si="0"/>
        <v>ven.</v>
      </c>
      <c r="S6" s="49"/>
      <c r="T6" s="49" t="str">
        <f t="shared" si="0"/>
        <v>sam.</v>
      </c>
      <c r="U6" s="49"/>
      <c r="V6" s="49" t="str">
        <f t="shared" si="0"/>
        <v>dim.</v>
      </c>
      <c r="W6" s="49"/>
      <c r="X6" s="49" t="str">
        <f t="shared" si="0"/>
        <v>lun.</v>
      </c>
      <c r="Y6" s="49"/>
      <c r="Z6" s="49" t="str">
        <f t="shared" si="0"/>
        <v>mar.</v>
      </c>
      <c r="AA6" s="49"/>
      <c r="AB6" s="49" t="str">
        <f t="shared" si="0"/>
        <v>mer.</v>
      </c>
      <c r="AC6" s="49"/>
      <c r="AD6" s="49" t="str">
        <f t="shared" si="0"/>
        <v>jeu.</v>
      </c>
      <c r="AE6" s="49"/>
      <c r="AF6" s="49" t="str">
        <f t="shared" si="0"/>
        <v>ven.</v>
      </c>
      <c r="AG6" s="49"/>
      <c r="AH6" s="49" t="str">
        <f t="shared" si="0"/>
        <v>sam.</v>
      </c>
      <c r="AI6" s="49"/>
      <c r="AJ6" s="49" t="str">
        <f t="shared" si="0"/>
        <v>dim.</v>
      </c>
      <c r="AK6" s="49"/>
      <c r="AL6" s="49" t="str">
        <f t="shared" si="0"/>
        <v>lun.</v>
      </c>
      <c r="AM6" s="49"/>
      <c r="AN6" s="49" t="str">
        <f t="shared" si="0"/>
        <v>mar.</v>
      </c>
      <c r="AO6" s="49"/>
      <c r="AP6" s="49" t="str">
        <f t="shared" si="0"/>
        <v>mer.</v>
      </c>
      <c r="AQ6" s="49"/>
      <c r="AR6" s="49" t="str">
        <f t="shared" si="0"/>
        <v>jeu.</v>
      </c>
      <c r="AS6" s="49"/>
      <c r="AT6" s="49" t="str">
        <f t="shared" si="0"/>
        <v>ven.</v>
      </c>
      <c r="AU6" s="49"/>
      <c r="AV6" s="49" t="str">
        <f t="shared" si="0"/>
        <v>sam.</v>
      </c>
      <c r="AW6" s="49"/>
      <c r="AX6" s="49" t="str">
        <f t="shared" si="0"/>
        <v>dim.</v>
      </c>
      <c r="AY6" s="49"/>
      <c r="AZ6" s="49" t="str">
        <f t="shared" si="0"/>
        <v>lun.</v>
      </c>
      <c r="BA6" s="49"/>
      <c r="BB6" s="49" t="str">
        <f t="shared" si="0"/>
        <v>mar.</v>
      </c>
      <c r="BC6" s="49"/>
      <c r="BD6" s="49" t="str">
        <f t="shared" si="0"/>
        <v>mer.</v>
      </c>
      <c r="BE6" s="49"/>
      <c r="BF6" s="49" t="str">
        <f t="shared" si="0"/>
        <v>jeu.</v>
      </c>
      <c r="BG6" s="49"/>
      <c r="BH6" s="49" t="str">
        <f t="shared" si="0"/>
        <v>ven.</v>
      </c>
      <c r="BI6" s="49"/>
      <c r="BJ6" s="49" t="str">
        <f t="shared" si="0"/>
        <v>sam.</v>
      </c>
      <c r="BK6" s="49"/>
      <c r="BL6" s="49" t="str">
        <f t="shared" si="0"/>
        <v>dim.</v>
      </c>
      <c r="BM6" s="49"/>
      <c r="BN6" s="14" t="str">
        <f>Janvier!BN6</f>
        <v>LIAGE 3</v>
      </c>
      <c r="BO6" s="14"/>
      <c r="BP6" s="14"/>
      <c r="BQ6" s="7">
        <f>Janvier!BQ6</f>
        <v>2020</v>
      </c>
    </row>
    <row r="7" spans="2:69">
      <c r="B7" s="30" t="s">
        <v>106</v>
      </c>
      <c r="C7" s="1"/>
      <c r="D7" s="47">
        <v>1</v>
      </c>
      <c r="E7" s="48"/>
      <c r="F7" s="47">
        <v>2</v>
      </c>
      <c r="G7" s="48"/>
      <c r="H7" s="47">
        <v>3</v>
      </c>
      <c r="I7" s="48"/>
      <c r="J7" s="47">
        <v>4</v>
      </c>
      <c r="K7" s="48"/>
      <c r="L7" s="47">
        <v>5</v>
      </c>
      <c r="M7" s="48"/>
      <c r="N7" s="47">
        <v>6</v>
      </c>
      <c r="O7" s="48"/>
      <c r="P7" s="47">
        <v>7</v>
      </c>
      <c r="Q7" s="48"/>
      <c r="R7" s="47">
        <v>8</v>
      </c>
      <c r="S7" s="48"/>
      <c r="T7" s="47">
        <v>9</v>
      </c>
      <c r="U7" s="48"/>
      <c r="V7" s="47">
        <v>10</v>
      </c>
      <c r="W7" s="48"/>
      <c r="X7" s="47">
        <v>11</v>
      </c>
      <c r="Y7" s="48"/>
      <c r="Z7" s="47">
        <v>12</v>
      </c>
      <c r="AA7" s="48"/>
      <c r="AB7" s="47">
        <v>13</v>
      </c>
      <c r="AC7" s="48"/>
      <c r="AD7" s="47">
        <v>14</v>
      </c>
      <c r="AE7" s="48"/>
      <c r="AF7" s="47">
        <v>15</v>
      </c>
      <c r="AG7" s="48"/>
      <c r="AH7" s="47">
        <v>16</v>
      </c>
      <c r="AI7" s="48"/>
      <c r="AJ7" s="47">
        <v>17</v>
      </c>
      <c r="AK7" s="48"/>
      <c r="AL7" s="47">
        <v>18</v>
      </c>
      <c r="AM7" s="48"/>
      <c r="AN7" s="47">
        <v>19</v>
      </c>
      <c r="AO7" s="48"/>
      <c r="AP7" s="47">
        <v>20</v>
      </c>
      <c r="AQ7" s="48"/>
      <c r="AR7" s="47">
        <v>21</v>
      </c>
      <c r="AS7" s="48"/>
      <c r="AT7" s="47">
        <v>22</v>
      </c>
      <c r="AU7" s="48"/>
      <c r="AV7" s="47">
        <v>23</v>
      </c>
      <c r="AW7" s="48"/>
      <c r="AX7" s="47">
        <v>24</v>
      </c>
      <c r="AY7" s="48"/>
      <c r="AZ7" s="47">
        <v>25</v>
      </c>
      <c r="BA7" s="48"/>
      <c r="BB7" s="47">
        <v>26</v>
      </c>
      <c r="BC7" s="48"/>
      <c r="BD7" s="47">
        <v>27</v>
      </c>
      <c r="BE7" s="48"/>
      <c r="BF7" s="47">
        <v>28</v>
      </c>
      <c r="BG7" s="48"/>
      <c r="BH7" s="47">
        <v>29</v>
      </c>
      <c r="BI7" s="48"/>
      <c r="BJ7" s="47">
        <v>30</v>
      </c>
      <c r="BK7" s="48"/>
      <c r="BL7" s="47">
        <v>31</v>
      </c>
      <c r="BM7" s="48"/>
    </row>
    <row r="8" spans="2:69" s="11" customFormat="1">
      <c r="B8" s="8"/>
      <c r="C8" s="8" t="s">
        <v>107</v>
      </c>
      <c r="D8" s="16"/>
      <c r="E8" s="17"/>
      <c r="F8" s="18"/>
      <c r="G8" s="17"/>
      <c r="H8" s="19"/>
      <c r="I8" s="20"/>
      <c r="J8" s="19"/>
      <c r="K8" s="20"/>
      <c r="L8" s="19"/>
      <c r="M8" s="20"/>
      <c r="N8" s="19"/>
      <c r="O8" s="20"/>
      <c r="P8" s="19"/>
      <c r="Q8" s="20"/>
      <c r="R8" s="19"/>
      <c r="S8" s="20"/>
      <c r="T8" s="19"/>
      <c r="U8" s="20"/>
      <c r="V8" s="19"/>
      <c r="W8" s="20"/>
      <c r="X8" s="19"/>
      <c r="Y8" s="20"/>
      <c r="Z8" s="19"/>
      <c r="AA8" s="20"/>
      <c r="AB8" s="19"/>
      <c r="AC8" s="20"/>
      <c r="AD8" s="19"/>
      <c r="AE8" s="20"/>
      <c r="AF8" s="19"/>
      <c r="AG8" s="20"/>
      <c r="AH8" s="19"/>
      <c r="AI8" s="20"/>
      <c r="AJ8" s="19"/>
      <c r="AK8" s="20"/>
      <c r="AL8" s="19"/>
      <c r="AM8" s="20"/>
      <c r="AN8" s="19"/>
      <c r="AO8" s="20"/>
      <c r="AP8" s="19"/>
      <c r="AQ8" s="20"/>
      <c r="AR8" s="19"/>
      <c r="AS8" s="20"/>
      <c r="AT8" s="19"/>
      <c r="AU8" s="20"/>
      <c r="AV8" s="19"/>
      <c r="AW8" s="20"/>
      <c r="AX8" s="19"/>
      <c r="AY8" s="20"/>
      <c r="AZ8" s="19"/>
      <c r="BA8" s="20"/>
      <c r="BB8" s="19"/>
      <c r="BC8" s="20"/>
      <c r="BD8" s="19"/>
      <c r="BE8" s="20"/>
      <c r="BF8" s="19"/>
      <c r="BG8" s="20"/>
      <c r="BH8" s="19"/>
      <c r="BI8" s="20"/>
      <c r="BJ8" s="19"/>
      <c r="BK8" s="20"/>
      <c r="BL8" s="19"/>
      <c r="BM8" s="21"/>
      <c r="BN8">
        <f>SUM(BN10:BN49)</f>
        <v>71</v>
      </c>
      <c r="BO8">
        <f>SUM(BO10:BO49)</f>
        <v>27</v>
      </c>
      <c r="BP8">
        <f>SUM(BP10:BP49)</f>
        <v>44</v>
      </c>
    </row>
    <row r="9" spans="2:69" s="3" customFormat="1" ht="12" customHeight="1">
      <c r="B9" s="23" t="s">
        <v>14</v>
      </c>
      <c r="C9" s="23" t="s">
        <v>15</v>
      </c>
      <c r="D9" s="24" t="str">
        <f>$H$1</f>
        <v>A</v>
      </c>
      <c r="E9" s="25" t="str">
        <f>$H$2</f>
        <v>J</v>
      </c>
      <c r="F9" s="26" t="str">
        <f>$H$1</f>
        <v>A</v>
      </c>
      <c r="G9" s="27" t="str">
        <f>$H$2</f>
        <v>J</v>
      </c>
      <c r="H9" s="28" t="str">
        <f>$H$1</f>
        <v>A</v>
      </c>
      <c r="I9" s="25" t="str">
        <f>$H$2</f>
        <v>J</v>
      </c>
      <c r="J9" s="26" t="str">
        <f>$H$1</f>
        <v>A</v>
      </c>
      <c r="K9" s="27" t="str">
        <f>$H$2</f>
        <v>J</v>
      </c>
      <c r="L9" s="28" t="str">
        <f>$H$1</f>
        <v>A</v>
      </c>
      <c r="M9" s="25" t="str">
        <f>$H$2</f>
        <v>J</v>
      </c>
      <c r="N9" s="26" t="str">
        <f>$H$1</f>
        <v>A</v>
      </c>
      <c r="O9" s="27" t="str">
        <f>$H$2</f>
        <v>J</v>
      </c>
      <c r="P9" s="28" t="str">
        <f>$H$1</f>
        <v>A</v>
      </c>
      <c r="Q9" s="25" t="str">
        <f>$H$2</f>
        <v>J</v>
      </c>
      <c r="R9" s="26" t="str">
        <f>$H$1</f>
        <v>A</v>
      </c>
      <c r="S9" s="27" t="str">
        <f>$H$2</f>
        <v>J</v>
      </c>
      <c r="T9" s="28" t="str">
        <f>$H$1</f>
        <v>A</v>
      </c>
      <c r="U9" s="25" t="str">
        <f>$H$2</f>
        <v>J</v>
      </c>
      <c r="V9" s="26" t="str">
        <f>$H$1</f>
        <v>A</v>
      </c>
      <c r="W9" s="27" t="str">
        <f>$H$2</f>
        <v>J</v>
      </c>
      <c r="X9" s="28" t="str">
        <f>$H$1</f>
        <v>A</v>
      </c>
      <c r="Y9" s="25" t="str">
        <f>$H$2</f>
        <v>J</v>
      </c>
      <c r="Z9" s="26" t="str">
        <f>$H$1</f>
        <v>A</v>
      </c>
      <c r="AA9" s="27" t="str">
        <f>$H$2</f>
        <v>J</v>
      </c>
      <c r="AB9" s="28" t="str">
        <f>$H$1</f>
        <v>A</v>
      </c>
      <c r="AC9" s="25" t="str">
        <f>$H$2</f>
        <v>J</v>
      </c>
      <c r="AD9" s="26" t="str">
        <f>$H$1</f>
        <v>A</v>
      </c>
      <c r="AE9" s="27" t="str">
        <f>$H$2</f>
        <v>J</v>
      </c>
      <c r="AF9" s="28" t="str">
        <f>$H$1</f>
        <v>A</v>
      </c>
      <c r="AG9" s="25" t="str">
        <f>$H$2</f>
        <v>J</v>
      </c>
      <c r="AH9" s="26" t="str">
        <f>$H$1</f>
        <v>A</v>
      </c>
      <c r="AI9" s="27" t="str">
        <f>$H$2</f>
        <v>J</v>
      </c>
      <c r="AJ9" s="28" t="str">
        <f>$H$1</f>
        <v>A</v>
      </c>
      <c r="AK9" s="25" t="str">
        <f>$H$2</f>
        <v>J</v>
      </c>
      <c r="AL9" s="26" t="str">
        <f>$H$1</f>
        <v>A</v>
      </c>
      <c r="AM9" s="27" t="str">
        <f>$H$2</f>
        <v>J</v>
      </c>
      <c r="AN9" s="28" t="str">
        <f>$H$1</f>
        <v>A</v>
      </c>
      <c r="AO9" s="25" t="str">
        <f>$H$2</f>
        <v>J</v>
      </c>
      <c r="AP9" s="26" t="str">
        <f>$H$1</f>
        <v>A</v>
      </c>
      <c r="AQ9" s="27" t="str">
        <f>$H$2</f>
        <v>J</v>
      </c>
      <c r="AR9" s="28" t="str">
        <f>$H$1</f>
        <v>A</v>
      </c>
      <c r="AS9" s="25" t="str">
        <f>$H$2</f>
        <v>J</v>
      </c>
      <c r="AT9" s="26" t="str">
        <f>$H$1</f>
        <v>A</v>
      </c>
      <c r="AU9" s="27" t="str">
        <f>$H$2</f>
        <v>J</v>
      </c>
      <c r="AV9" s="28" t="str">
        <f>$H$1</f>
        <v>A</v>
      </c>
      <c r="AW9" s="25" t="str">
        <f>$H$2</f>
        <v>J</v>
      </c>
      <c r="AX9" s="26" t="str">
        <f>$H$1</f>
        <v>A</v>
      </c>
      <c r="AY9" s="27" t="str">
        <f>$H$2</f>
        <v>J</v>
      </c>
      <c r="AZ9" s="28" t="str">
        <f>$H$1</f>
        <v>A</v>
      </c>
      <c r="BA9" s="25" t="str">
        <f>$H$2</f>
        <v>J</v>
      </c>
      <c r="BB9" s="26" t="str">
        <f>$H$1</f>
        <v>A</v>
      </c>
      <c r="BC9" s="27" t="str">
        <f>$H$2</f>
        <v>J</v>
      </c>
      <c r="BD9" s="28" t="str">
        <f>$H$1</f>
        <v>A</v>
      </c>
      <c r="BE9" s="25" t="str">
        <f>$H$2</f>
        <v>J</v>
      </c>
      <c r="BF9" s="26" t="str">
        <f>$H$1</f>
        <v>A</v>
      </c>
      <c r="BG9" s="27" t="str">
        <f>$H$2</f>
        <v>J</v>
      </c>
      <c r="BH9" s="28" t="str">
        <f>$H$1</f>
        <v>A</v>
      </c>
      <c r="BI9" s="25" t="str">
        <f>$H$2</f>
        <v>J</v>
      </c>
      <c r="BJ9" s="26" t="str">
        <f>$H$1</f>
        <v>A</v>
      </c>
      <c r="BK9" s="27" t="str">
        <f>$H$2</f>
        <v>J</v>
      </c>
      <c r="BL9" s="28" t="str">
        <f>$H$1</f>
        <v>A</v>
      </c>
      <c r="BM9" s="24" t="str">
        <f>$H$2</f>
        <v>J</v>
      </c>
      <c r="BN9" s="29" t="s">
        <v>2</v>
      </c>
      <c r="BO9" s="29" t="s">
        <v>6</v>
      </c>
      <c r="BP9" s="29" t="s">
        <v>8</v>
      </c>
    </row>
    <row r="10" spans="2:69">
      <c r="B10" s="6" t="s">
        <v>16</v>
      </c>
      <c r="C10" s="6" t="s">
        <v>17</v>
      </c>
      <c r="D10" s="10"/>
      <c r="E10" s="15"/>
      <c r="F10" s="9"/>
      <c r="G10" s="9"/>
      <c r="H10" s="15"/>
      <c r="I10" s="15"/>
      <c r="J10" s="9"/>
      <c r="K10" s="9"/>
      <c r="L10" s="15"/>
      <c r="M10" s="15"/>
      <c r="N10" s="9"/>
      <c r="O10" s="9"/>
      <c r="P10" s="15"/>
      <c r="Q10" s="15"/>
      <c r="R10" s="9"/>
      <c r="S10" s="9"/>
      <c r="T10" s="15"/>
      <c r="U10" s="15"/>
      <c r="V10" s="9"/>
      <c r="W10" s="9"/>
      <c r="X10" s="15"/>
      <c r="Y10" s="15"/>
      <c r="Z10" s="9"/>
      <c r="AA10" s="9"/>
      <c r="AB10" s="15"/>
      <c r="AC10" s="15"/>
      <c r="AD10" s="9"/>
      <c r="AE10" s="9"/>
      <c r="AF10" s="15"/>
      <c r="AG10" s="15"/>
      <c r="AH10" s="9"/>
      <c r="AI10" s="9"/>
      <c r="AJ10" s="15"/>
      <c r="AK10" s="15"/>
      <c r="AL10" s="9"/>
      <c r="AM10" s="9"/>
      <c r="AN10" s="15">
        <v>7</v>
      </c>
      <c r="AO10" s="15"/>
      <c r="AP10" s="9">
        <v>5</v>
      </c>
      <c r="AQ10" s="9">
        <v>1</v>
      </c>
      <c r="AR10" s="15"/>
      <c r="AS10" s="15"/>
      <c r="AT10" s="9"/>
      <c r="AU10" s="9"/>
      <c r="AV10" s="15"/>
      <c r="AW10" s="15"/>
      <c r="AX10" s="9">
        <v>8</v>
      </c>
      <c r="AY10" s="9"/>
      <c r="AZ10" s="15"/>
      <c r="BA10" s="15"/>
      <c r="BB10" s="15"/>
      <c r="BC10" s="9"/>
      <c r="BD10" s="15"/>
      <c r="BE10" s="15"/>
      <c r="BF10" s="15"/>
      <c r="BG10" s="9"/>
      <c r="BH10" s="15"/>
      <c r="BI10" s="15"/>
      <c r="BJ10" s="9"/>
      <c r="BK10" s="9"/>
      <c r="BL10" s="15"/>
      <c r="BM10" s="10"/>
      <c r="BN10">
        <f>SUMIFS($D10:$BM10,$D$9:$BM$9,$H$1)</f>
        <v>20</v>
      </c>
      <c r="BO10">
        <f>SUMIFS($D10:$BM10,$D$9:$BM$9,$H$2)</f>
        <v>1</v>
      </c>
      <c r="BP10">
        <f>BN10-BO10</f>
        <v>19</v>
      </c>
    </row>
    <row r="11" spans="2:69">
      <c r="B11" s="6" t="s">
        <v>20</v>
      </c>
      <c r="C11" s="6" t="s">
        <v>21</v>
      </c>
      <c r="D11" s="10">
        <v>8</v>
      </c>
      <c r="E11" s="15">
        <v>2</v>
      </c>
      <c r="F11" s="9"/>
      <c r="G11" s="9"/>
      <c r="H11" s="15"/>
      <c r="I11" s="15">
        <v>6</v>
      </c>
      <c r="J11" s="9">
        <v>3</v>
      </c>
      <c r="K11" s="9"/>
      <c r="L11" s="15"/>
      <c r="M11" s="15"/>
      <c r="N11" s="9"/>
      <c r="O11" s="9"/>
      <c r="P11" s="15"/>
      <c r="Q11" s="15"/>
      <c r="R11" s="9"/>
      <c r="S11" s="9"/>
      <c r="T11" s="15">
        <v>7</v>
      </c>
      <c r="U11" s="15">
        <v>1</v>
      </c>
      <c r="V11" s="9"/>
      <c r="W11" s="9"/>
      <c r="X11" s="15">
        <v>8</v>
      </c>
      <c r="Y11" s="15">
        <v>8</v>
      </c>
      <c r="Z11" s="9"/>
      <c r="AA11" s="9"/>
      <c r="AB11" s="15"/>
      <c r="AC11" s="15"/>
      <c r="AD11" s="9"/>
      <c r="AE11" s="9"/>
      <c r="AF11" s="15"/>
      <c r="AG11" s="15"/>
      <c r="AH11" s="9"/>
      <c r="AI11" s="9"/>
      <c r="AJ11" s="15"/>
      <c r="AK11" s="15"/>
      <c r="AL11" s="9"/>
      <c r="AM11" s="9"/>
      <c r="AN11" s="15"/>
      <c r="AO11" s="15"/>
      <c r="AP11" s="9"/>
      <c r="AQ11" s="9"/>
      <c r="AR11" s="15"/>
      <c r="AS11" s="15"/>
      <c r="AT11" s="9"/>
      <c r="AU11" s="9"/>
      <c r="AV11" s="15"/>
      <c r="AW11" s="15"/>
      <c r="AX11" s="9"/>
      <c r="AY11" s="9"/>
      <c r="AZ11" s="15"/>
      <c r="BA11" s="15"/>
      <c r="BB11" s="9"/>
      <c r="BC11" s="9"/>
      <c r="BD11" s="15"/>
      <c r="BE11" s="15"/>
      <c r="BF11" s="9"/>
      <c r="BG11" s="9"/>
      <c r="BH11" s="15"/>
      <c r="BI11" s="15"/>
      <c r="BJ11" s="9"/>
      <c r="BK11" s="9"/>
      <c r="BL11" s="15"/>
      <c r="BM11" s="10"/>
      <c r="BN11">
        <f>SUMIFS($D11:$BM11,$D$9:$BM$9,$H$1)</f>
        <v>26</v>
      </c>
      <c r="BO11">
        <f>SUMIFS($D11:$BM11,$D$9:$BM$9,$H$2)</f>
        <v>17</v>
      </c>
      <c r="BP11">
        <f>BN11-BO11</f>
        <v>9</v>
      </c>
    </row>
    <row r="12" spans="2:69">
      <c r="B12" s="6" t="s">
        <v>22</v>
      </c>
      <c r="C12" s="6" t="s">
        <v>23</v>
      </c>
      <c r="D12" s="10"/>
      <c r="E12" s="10"/>
      <c r="H12" s="10"/>
      <c r="I12" s="10"/>
      <c r="L12" s="10"/>
      <c r="M12" s="10"/>
      <c r="P12" s="10"/>
      <c r="Q12" s="10"/>
      <c r="T12" s="10"/>
      <c r="U12" s="10"/>
      <c r="X12" s="10"/>
      <c r="Y12" s="10"/>
      <c r="AB12" s="10"/>
      <c r="AC12" s="10"/>
      <c r="AF12" s="10"/>
      <c r="AG12" s="10"/>
      <c r="AJ12" s="10"/>
      <c r="AK12" s="10"/>
      <c r="AN12" s="10"/>
      <c r="AO12" s="10"/>
      <c r="AR12" s="10"/>
      <c r="AS12" s="10"/>
      <c r="AV12" s="10"/>
      <c r="AW12" s="10"/>
      <c r="AZ12" s="10"/>
      <c r="BA12" s="10"/>
      <c r="BD12" s="10"/>
      <c r="BE12" s="10"/>
      <c r="BH12" s="10"/>
      <c r="BI12" s="10"/>
      <c r="BL12" s="10"/>
      <c r="BM12" s="10"/>
      <c r="BN12">
        <f>SUMIFS($D12:$BM12,$D$9:$BM$9,$H$1)</f>
        <v>0</v>
      </c>
      <c r="BO12">
        <f>SUMIFS($D12:$BM12,$D$9:$BM$9,$H$2)</f>
        <v>0</v>
      </c>
      <c r="BP12">
        <f>BN12-BO12</f>
        <v>0</v>
      </c>
    </row>
    <row r="13" spans="2:69">
      <c r="B13" s="6" t="s">
        <v>24</v>
      </c>
      <c r="C13" s="6" t="s">
        <v>25</v>
      </c>
      <c r="D13" s="15"/>
      <c r="E13" s="15"/>
      <c r="F13" s="9"/>
      <c r="G13" s="9"/>
      <c r="H13" s="15"/>
      <c r="I13" s="15"/>
      <c r="J13" s="9"/>
      <c r="K13" s="9"/>
      <c r="L13" s="15"/>
      <c r="M13" s="15"/>
      <c r="N13" s="9"/>
      <c r="O13" s="9"/>
      <c r="P13" s="15"/>
      <c r="Q13" s="15"/>
      <c r="R13" s="9"/>
      <c r="S13" s="9"/>
      <c r="T13" s="15"/>
      <c r="U13" s="15"/>
      <c r="V13" s="9"/>
      <c r="W13" s="9"/>
      <c r="X13" s="15"/>
      <c r="Y13" s="15"/>
      <c r="Z13" s="9"/>
      <c r="AA13" s="9"/>
      <c r="AB13" s="15"/>
      <c r="AC13" s="15"/>
      <c r="AD13" s="9"/>
      <c r="AE13" s="9"/>
      <c r="AF13" s="15"/>
      <c r="AG13" s="15"/>
      <c r="AH13" s="9"/>
      <c r="AI13" s="9"/>
      <c r="AJ13" s="15"/>
      <c r="AK13" s="15"/>
      <c r="AL13" s="9"/>
      <c r="AM13" s="9"/>
      <c r="AN13" s="15"/>
      <c r="AO13" s="15"/>
      <c r="AP13" s="9"/>
      <c r="AQ13" s="9"/>
      <c r="AR13" s="15"/>
      <c r="AS13" s="15"/>
      <c r="AT13" s="9"/>
      <c r="AU13" s="9"/>
      <c r="AV13" s="15"/>
      <c r="AW13" s="15"/>
      <c r="AX13" s="9"/>
      <c r="AY13" s="9"/>
      <c r="AZ13" s="15"/>
      <c r="BA13" s="15"/>
      <c r="BB13" s="9"/>
      <c r="BC13" s="9"/>
      <c r="BD13" s="15"/>
      <c r="BE13" s="15"/>
      <c r="BF13" s="9"/>
      <c r="BG13" s="9"/>
      <c r="BH13" s="15"/>
      <c r="BI13" s="15"/>
      <c r="BJ13" s="9"/>
      <c r="BK13" s="9"/>
      <c r="BL13" s="15"/>
      <c r="BM13" s="15"/>
      <c r="BN13">
        <f>SUMIFS($D13:$BM13,$D$9:$BM$9,$H$1)</f>
        <v>0</v>
      </c>
      <c r="BO13">
        <f>SUMIFS($D13:$BM13,$D$9:$BM$9,$H$2)</f>
        <v>0</v>
      </c>
      <c r="BP13">
        <f>BN13-BO13</f>
        <v>0</v>
      </c>
    </row>
    <row r="14" spans="2:69">
      <c r="B14" s="6" t="s">
        <v>26</v>
      </c>
      <c r="C14" s="6" t="s">
        <v>27</v>
      </c>
      <c r="D14" s="10"/>
      <c r="E14" s="15"/>
      <c r="F14" s="9"/>
      <c r="G14" s="9"/>
      <c r="H14" s="15"/>
      <c r="I14" s="15"/>
      <c r="J14" s="9"/>
      <c r="K14" s="9"/>
      <c r="L14" s="15"/>
      <c r="M14" s="15"/>
      <c r="N14" s="9"/>
      <c r="O14" s="9"/>
      <c r="P14" s="15"/>
      <c r="Q14" s="15"/>
      <c r="R14" s="9"/>
      <c r="S14" s="9"/>
      <c r="T14" s="15"/>
      <c r="U14" s="15"/>
      <c r="V14" s="9"/>
      <c r="W14" s="9"/>
      <c r="X14" s="15"/>
      <c r="Y14" s="15"/>
      <c r="Z14" s="9"/>
      <c r="AA14" s="9"/>
      <c r="AB14" s="15"/>
      <c r="AC14" s="15"/>
      <c r="AD14" s="9"/>
      <c r="AE14" s="9"/>
      <c r="AF14" s="15"/>
      <c r="AG14" s="15"/>
      <c r="AH14" s="9"/>
      <c r="AI14" s="9"/>
      <c r="AJ14" s="15"/>
      <c r="AK14" s="15"/>
      <c r="AL14" s="9"/>
      <c r="AM14" s="9"/>
      <c r="AN14" s="15"/>
      <c r="AO14" s="15"/>
      <c r="AP14" s="9"/>
      <c r="AQ14" s="9"/>
      <c r="AR14" s="15"/>
      <c r="AS14" s="15"/>
      <c r="AT14" s="9"/>
      <c r="AU14" s="9"/>
      <c r="AV14" s="15"/>
      <c r="AW14" s="15"/>
      <c r="AX14" s="9"/>
      <c r="AY14" s="9"/>
      <c r="AZ14" s="15"/>
      <c r="BA14" s="15"/>
      <c r="BB14" s="9"/>
      <c r="BC14" s="9"/>
      <c r="BD14" s="15"/>
      <c r="BE14" s="15"/>
      <c r="BF14" s="9"/>
      <c r="BG14" s="9"/>
      <c r="BH14" s="15"/>
      <c r="BI14" s="15"/>
      <c r="BJ14" s="9"/>
      <c r="BK14" s="9"/>
      <c r="BL14" s="15"/>
      <c r="BM14" s="10"/>
      <c r="BN14">
        <f>SUMIFS($D14:$BM14,$D$9:$BM$9,$H$1)</f>
        <v>0</v>
      </c>
      <c r="BO14">
        <f>SUMIFS($D14:$BM14,$D$9:$BM$9,$H$2)</f>
        <v>0</v>
      </c>
      <c r="BP14">
        <f>BN14-BO14</f>
        <v>0</v>
      </c>
    </row>
    <row r="15" spans="2:69">
      <c r="B15" s="6" t="s">
        <v>28</v>
      </c>
      <c r="C15" s="6" t="s">
        <v>27</v>
      </c>
      <c r="D15" s="10"/>
      <c r="E15" s="15"/>
      <c r="F15" s="9"/>
      <c r="G15" s="9"/>
      <c r="H15" s="15"/>
      <c r="I15" s="15"/>
      <c r="J15" s="9"/>
      <c r="K15" s="9"/>
      <c r="L15" s="15"/>
      <c r="M15" s="15"/>
      <c r="N15" s="9"/>
      <c r="O15" s="9"/>
      <c r="P15" s="15"/>
      <c r="Q15" s="15"/>
      <c r="R15" s="9"/>
      <c r="S15" s="9"/>
      <c r="T15" s="15"/>
      <c r="U15" s="15"/>
      <c r="V15" s="9"/>
      <c r="W15" s="9"/>
      <c r="X15" s="15"/>
      <c r="Y15" s="15"/>
      <c r="Z15" s="9"/>
      <c r="AA15" s="9"/>
      <c r="AB15" s="15"/>
      <c r="AC15" s="15"/>
      <c r="AD15" s="9"/>
      <c r="AE15" s="9"/>
      <c r="AF15" s="15"/>
      <c r="AG15" s="15"/>
      <c r="AH15" s="9"/>
      <c r="AI15" s="9"/>
      <c r="AJ15" s="15"/>
      <c r="AK15" s="15"/>
      <c r="AL15" s="9"/>
      <c r="AM15" s="9"/>
      <c r="AN15" s="15"/>
      <c r="AO15" s="15"/>
      <c r="AP15" s="9"/>
      <c r="AQ15" s="9"/>
      <c r="AR15" s="15"/>
      <c r="AS15" s="15"/>
      <c r="AT15" s="9"/>
      <c r="AU15" s="9"/>
      <c r="AV15" s="15"/>
      <c r="AW15" s="15"/>
      <c r="AX15" s="9"/>
      <c r="AY15" s="9"/>
      <c r="AZ15" s="15"/>
      <c r="BA15" s="15"/>
      <c r="BB15" s="9"/>
      <c r="BC15" s="9"/>
      <c r="BD15" s="15"/>
      <c r="BE15" s="15"/>
      <c r="BF15" s="9"/>
      <c r="BG15" s="9"/>
      <c r="BH15" s="15"/>
      <c r="BI15" s="15"/>
      <c r="BJ15" s="9"/>
      <c r="BK15" s="9"/>
      <c r="BL15" s="15"/>
      <c r="BM15" s="10"/>
      <c r="BN15">
        <f>SUMIFS($D15:$BM15,$D$9:$BM$9,$H$1)</f>
        <v>0</v>
      </c>
      <c r="BO15">
        <f>SUMIFS($D15:$BM15,$D$9:$BM$9,$H$2)</f>
        <v>0</v>
      </c>
      <c r="BP15">
        <f>BN15-BO15</f>
        <v>0</v>
      </c>
    </row>
    <row r="16" spans="2:69">
      <c r="B16" s="6" t="s">
        <v>29</v>
      </c>
      <c r="C16" s="6" t="s">
        <v>30</v>
      </c>
      <c r="D16" s="10"/>
      <c r="E16" s="10"/>
      <c r="H16" s="10"/>
      <c r="I16" s="10"/>
      <c r="L16" s="10"/>
      <c r="M16" s="10"/>
      <c r="P16" s="10"/>
      <c r="Q16" s="10"/>
      <c r="T16" s="10"/>
      <c r="U16" s="10"/>
      <c r="X16" s="10"/>
      <c r="Y16" s="10"/>
      <c r="AB16" s="10"/>
      <c r="AC16" s="10"/>
      <c r="AF16" s="10"/>
      <c r="AG16" s="10"/>
      <c r="AJ16" s="10"/>
      <c r="AK16" s="10"/>
      <c r="AN16" s="10"/>
      <c r="AO16" s="10"/>
      <c r="AR16" s="10"/>
      <c r="AS16" s="10"/>
      <c r="AV16" s="10"/>
      <c r="AW16" s="10"/>
      <c r="AZ16" s="10"/>
      <c r="BA16" s="10"/>
      <c r="BD16" s="10"/>
      <c r="BE16" s="10"/>
      <c r="BH16" s="10"/>
      <c r="BI16" s="10"/>
      <c r="BL16" s="10"/>
      <c r="BM16" s="10"/>
      <c r="BN16">
        <f>SUMIFS($D16:$BM16,$D$9:$BM$9,$H$1)</f>
        <v>0</v>
      </c>
      <c r="BO16">
        <f>SUMIFS($D16:$BM16,$D$9:$BM$9,$H$2)</f>
        <v>0</v>
      </c>
      <c r="BP16">
        <f>BN16-BO16</f>
        <v>0</v>
      </c>
    </row>
    <row r="17" spans="2:68">
      <c r="B17" s="6" t="s">
        <v>31</v>
      </c>
      <c r="C17" s="6" t="s">
        <v>32</v>
      </c>
      <c r="D17" s="10"/>
      <c r="E17" s="10"/>
      <c r="H17" s="10"/>
      <c r="I17" s="10"/>
      <c r="L17" s="10"/>
      <c r="M17" s="10"/>
      <c r="P17" s="10"/>
      <c r="Q17" s="10"/>
      <c r="T17" s="10"/>
      <c r="U17" s="10"/>
      <c r="X17" s="10"/>
      <c r="Y17" s="10"/>
      <c r="AB17" s="10"/>
      <c r="AC17" s="10"/>
      <c r="AF17" s="10"/>
      <c r="AG17" s="10"/>
      <c r="AJ17" s="10"/>
      <c r="AK17" s="10"/>
      <c r="AN17" s="10"/>
      <c r="AO17" s="10"/>
      <c r="AR17" s="10"/>
      <c r="AS17" s="10"/>
      <c r="AV17" s="10"/>
      <c r="AW17" s="10"/>
      <c r="AZ17" s="10"/>
      <c r="BA17" s="10"/>
      <c r="BD17" s="10"/>
      <c r="BE17" s="10"/>
      <c r="BH17" s="10"/>
      <c r="BI17" s="10"/>
      <c r="BL17" s="10"/>
      <c r="BM17" s="10"/>
      <c r="BN17">
        <f>SUMIFS($D17:$BM17,$D$9:$BM$9,$H$1)</f>
        <v>0</v>
      </c>
      <c r="BO17">
        <f>SUMIFS($D17:$BM17,$D$9:$BM$9,$H$2)</f>
        <v>0</v>
      </c>
      <c r="BP17">
        <f>BN17-BO17</f>
        <v>0</v>
      </c>
    </row>
    <row r="18" spans="2:68">
      <c r="B18" s="6" t="s">
        <v>33</v>
      </c>
      <c r="C18" s="6" t="s">
        <v>34</v>
      </c>
      <c r="D18" s="10"/>
      <c r="E18" s="10"/>
      <c r="H18" s="10"/>
      <c r="I18" s="10"/>
      <c r="L18" s="10"/>
      <c r="M18" s="10"/>
      <c r="P18" s="10"/>
      <c r="Q18" s="10"/>
      <c r="T18" s="10"/>
      <c r="U18" s="10"/>
      <c r="X18" s="10"/>
      <c r="Y18" s="10"/>
      <c r="AB18" s="10"/>
      <c r="AC18" s="10"/>
      <c r="AF18" s="10"/>
      <c r="AG18" s="10"/>
      <c r="AJ18" s="10"/>
      <c r="AK18" s="10"/>
      <c r="AN18" s="10"/>
      <c r="AO18" s="10"/>
      <c r="AR18" s="10"/>
      <c r="AS18" s="10"/>
      <c r="AV18" s="10"/>
      <c r="AW18" s="10"/>
      <c r="AZ18" s="10"/>
      <c r="BA18" s="10"/>
      <c r="BD18" s="10"/>
      <c r="BE18" s="10"/>
      <c r="BH18" s="10"/>
      <c r="BI18" s="10"/>
      <c r="BL18" s="10"/>
      <c r="BM18" s="10"/>
      <c r="BN18">
        <f>SUMIFS($D18:$BM18,$D$9:$BM$9,$H$1)</f>
        <v>0</v>
      </c>
      <c r="BO18">
        <f>SUMIFS($D18:$BM18,$D$9:$BM$9,$H$2)</f>
        <v>0</v>
      </c>
      <c r="BP18">
        <f>BN18-BO18</f>
        <v>0</v>
      </c>
    </row>
    <row r="19" spans="2:68">
      <c r="B19" s="6" t="s">
        <v>35</v>
      </c>
      <c r="C19" s="6" t="s">
        <v>36</v>
      </c>
      <c r="D19" s="10"/>
      <c r="E19" s="15"/>
      <c r="F19" s="9"/>
      <c r="G19" s="9"/>
      <c r="H19" s="15"/>
      <c r="I19" s="15"/>
      <c r="J19" s="9"/>
      <c r="K19" s="9"/>
      <c r="L19" s="15"/>
      <c r="M19" s="15"/>
      <c r="N19" s="9"/>
      <c r="O19" s="9"/>
      <c r="P19" s="15"/>
      <c r="Q19" s="15"/>
      <c r="R19" s="9"/>
      <c r="S19" s="9"/>
      <c r="T19" s="15"/>
      <c r="U19" s="15"/>
      <c r="V19" s="9"/>
      <c r="W19" s="9"/>
      <c r="X19" s="15"/>
      <c r="Y19" s="15"/>
      <c r="Z19" s="9"/>
      <c r="AA19" s="9"/>
      <c r="AB19" s="15"/>
      <c r="AC19" s="15"/>
      <c r="AD19" s="9"/>
      <c r="AE19" s="9"/>
      <c r="AF19" s="15"/>
      <c r="AG19" s="15"/>
      <c r="AH19" s="9"/>
      <c r="AI19" s="9"/>
      <c r="AJ19" s="15"/>
      <c r="AK19" s="15"/>
      <c r="AL19" s="9"/>
      <c r="AM19" s="9"/>
      <c r="AN19" s="15"/>
      <c r="AO19" s="15"/>
      <c r="AP19" s="9"/>
      <c r="AQ19" s="9"/>
      <c r="AR19" s="15"/>
      <c r="AS19" s="15"/>
      <c r="AT19" s="9"/>
      <c r="AU19" s="9"/>
      <c r="AV19" s="15"/>
      <c r="AW19" s="15"/>
      <c r="AX19" s="9"/>
      <c r="AY19" s="9"/>
      <c r="AZ19" s="15"/>
      <c r="BA19" s="15"/>
      <c r="BB19" s="9"/>
      <c r="BC19" s="9"/>
      <c r="BD19" s="15"/>
      <c r="BE19" s="15"/>
      <c r="BF19" s="9"/>
      <c r="BG19" s="9"/>
      <c r="BH19" s="15"/>
      <c r="BI19" s="15"/>
      <c r="BJ19" s="9"/>
      <c r="BK19" s="9"/>
      <c r="BL19" s="15"/>
      <c r="BM19" s="10"/>
      <c r="BN19">
        <f>SUMIFS($D19:$BM19,$D$9:$BM$9,$H$1)</f>
        <v>0</v>
      </c>
      <c r="BO19">
        <f>SUMIFS($D19:$BM19,$D$9:$BM$9,$H$2)</f>
        <v>0</v>
      </c>
      <c r="BP19">
        <f>BN19-BO19</f>
        <v>0</v>
      </c>
    </row>
    <row r="20" spans="2:68">
      <c r="B20" s="6" t="s">
        <v>37</v>
      </c>
      <c r="C20" s="6" t="s">
        <v>38</v>
      </c>
      <c r="D20" s="10"/>
      <c r="E20" s="10"/>
      <c r="H20" s="10"/>
      <c r="I20" s="10"/>
      <c r="L20" s="10"/>
      <c r="M20" s="10"/>
      <c r="P20" s="10"/>
      <c r="Q20" s="10"/>
      <c r="T20" s="10"/>
      <c r="U20" s="10"/>
      <c r="X20" s="10"/>
      <c r="Y20" s="10"/>
      <c r="AB20" s="10"/>
      <c r="AC20" s="10"/>
      <c r="AF20" s="10"/>
      <c r="AG20" s="10"/>
      <c r="AJ20" s="10"/>
      <c r="AK20" s="10"/>
      <c r="AN20" s="10"/>
      <c r="AO20" s="10"/>
      <c r="AR20" s="10"/>
      <c r="AS20" s="10"/>
      <c r="AV20" s="10"/>
      <c r="AW20" s="10"/>
      <c r="AZ20" s="10"/>
      <c r="BA20" s="10"/>
      <c r="BD20" s="10"/>
      <c r="BE20" s="10"/>
      <c r="BH20" s="10"/>
      <c r="BI20" s="10"/>
      <c r="BL20" s="10"/>
      <c r="BM20" s="10"/>
      <c r="BN20">
        <f>SUMIFS($D20:$BM20,$D$9:$BM$9,$H$1)</f>
        <v>0</v>
      </c>
      <c r="BO20">
        <f>SUMIFS($D20:$BM20,$D$9:$BM$9,$H$2)</f>
        <v>0</v>
      </c>
      <c r="BP20">
        <f>BN20-BO20</f>
        <v>0</v>
      </c>
    </row>
    <row r="21" spans="2:68">
      <c r="B21" s="6" t="s">
        <v>39</v>
      </c>
      <c r="C21" s="6" t="s">
        <v>40</v>
      </c>
      <c r="D21" s="10"/>
      <c r="E21" s="10"/>
      <c r="H21" s="10"/>
      <c r="I21" s="10"/>
      <c r="L21" s="10"/>
      <c r="M21" s="10"/>
      <c r="P21" s="10"/>
      <c r="Q21" s="10"/>
      <c r="T21" s="10"/>
      <c r="U21" s="10"/>
      <c r="X21" s="10"/>
      <c r="Y21" s="10"/>
      <c r="AB21" s="10"/>
      <c r="AC21" s="10"/>
      <c r="AF21" s="10"/>
      <c r="AG21" s="10"/>
      <c r="AJ21" s="10"/>
      <c r="AK21" s="10"/>
      <c r="AN21" s="10"/>
      <c r="AO21" s="10"/>
      <c r="AR21" s="10"/>
      <c r="AS21" s="10"/>
      <c r="AV21" s="10"/>
      <c r="AW21" s="10"/>
      <c r="AZ21" s="10"/>
      <c r="BA21" s="10"/>
      <c r="BD21" s="10"/>
      <c r="BE21" s="10"/>
      <c r="BH21" s="10"/>
      <c r="BI21" s="10"/>
      <c r="BL21" s="10"/>
      <c r="BM21" s="10"/>
      <c r="BN21">
        <f>SUMIFS($D21:$BM21,$D$9:$BM$9,$H$1)</f>
        <v>0</v>
      </c>
      <c r="BO21">
        <f>SUMIFS($D21:$BM21,$D$9:$BM$9,$H$2)</f>
        <v>0</v>
      </c>
      <c r="BP21">
        <f>BN21-BO21</f>
        <v>0</v>
      </c>
    </row>
    <row r="22" spans="2:68">
      <c r="B22" s="6" t="s">
        <v>41</v>
      </c>
      <c r="C22" s="6" t="s">
        <v>42</v>
      </c>
      <c r="D22" s="10"/>
      <c r="E22" s="10"/>
      <c r="H22" s="10"/>
      <c r="I22" s="10"/>
      <c r="L22" s="10"/>
      <c r="M22" s="10"/>
      <c r="P22" s="10"/>
      <c r="Q22" s="10"/>
      <c r="T22" s="10"/>
      <c r="U22" s="10"/>
      <c r="X22" s="10"/>
      <c r="Y22" s="10"/>
      <c r="AB22" s="10"/>
      <c r="AC22" s="10"/>
      <c r="AF22" s="10"/>
      <c r="AG22" s="10"/>
      <c r="AJ22" s="10"/>
      <c r="AK22" s="10"/>
      <c r="AN22" s="10"/>
      <c r="AO22" s="10"/>
      <c r="AR22" s="10"/>
      <c r="AS22" s="10"/>
      <c r="AV22" s="10"/>
      <c r="AW22" s="10"/>
      <c r="AZ22" s="10"/>
      <c r="BA22" s="10"/>
      <c r="BD22" s="10"/>
      <c r="BE22" s="10"/>
      <c r="BH22" s="10"/>
      <c r="BI22" s="10"/>
      <c r="BL22" s="10"/>
      <c r="BM22" s="10"/>
      <c r="BN22">
        <f>SUMIFS($D22:$BM22,$D$9:$BM$9,$H$1)</f>
        <v>0</v>
      </c>
      <c r="BO22">
        <f>SUMIFS($D22:$BM22,$D$9:$BM$9,$H$2)</f>
        <v>0</v>
      </c>
      <c r="BP22">
        <f>BN22-BO22</f>
        <v>0</v>
      </c>
    </row>
    <row r="23" spans="2:68">
      <c r="B23" s="6" t="s">
        <v>43</v>
      </c>
      <c r="C23" s="6" t="s">
        <v>44</v>
      </c>
      <c r="D23" s="10"/>
      <c r="E23" s="10"/>
      <c r="H23" s="10"/>
      <c r="I23" s="10"/>
      <c r="L23" s="10"/>
      <c r="M23" s="10"/>
      <c r="P23" s="10"/>
      <c r="Q23" s="10"/>
      <c r="T23" s="10"/>
      <c r="U23" s="10"/>
      <c r="X23" s="10"/>
      <c r="Y23" s="10"/>
      <c r="AB23" s="10"/>
      <c r="AC23" s="10"/>
      <c r="AF23" s="10"/>
      <c r="AG23" s="10"/>
      <c r="AJ23" s="10"/>
      <c r="AK23" s="10"/>
      <c r="AN23" s="10"/>
      <c r="AO23" s="10"/>
      <c r="AR23" s="10"/>
      <c r="AS23" s="10"/>
      <c r="AV23" s="10"/>
      <c r="AW23" s="10"/>
      <c r="AZ23" s="10"/>
      <c r="BA23" s="10"/>
      <c r="BD23" s="10"/>
      <c r="BE23" s="10"/>
      <c r="BH23" s="10"/>
      <c r="BI23" s="10"/>
      <c r="BL23" s="10"/>
      <c r="BM23" s="10"/>
      <c r="BN23">
        <f>SUMIFS($D23:$BM23,$D$9:$BM$9,$H$1)</f>
        <v>0</v>
      </c>
      <c r="BO23">
        <f>SUMIFS($D23:$BM23,$D$9:$BM$9,$H$2)</f>
        <v>0</v>
      </c>
      <c r="BP23">
        <f>BN23-BO23</f>
        <v>0</v>
      </c>
    </row>
    <row r="24" spans="2:68">
      <c r="B24" s="6" t="s">
        <v>45</v>
      </c>
      <c r="C24" s="6" t="s">
        <v>46</v>
      </c>
      <c r="D24" s="10"/>
      <c r="E24" s="10"/>
      <c r="H24" s="10"/>
      <c r="I24" s="10"/>
      <c r="L24" s="10"/>
      <c r="M24" s="10"/>
      <c r="P24" s="10"/>
      <c r="Q24" s="10"/>
      <c r="T24" s="10"/>
      <c r="U24" s="10"/>
      <c r="X24" s="10"/>
      <c r="Y24" s="10"/>
      <c r="AB24" s="10"/>
      <c r="AC24" s="10"/>
      <c r="AF24" s="10"/>
      <c r="AG24" s="10"/>
      <c r="AJ24" s="10"/>
      <c r="AK24" s="10"/>
      <c r="AN24" s="10"/>
      <c r="AO24" s="10"/>
      <c r="AR24" s="10"/>
      <c r="AS24" s="10"/>
      <c r="AV24" s="10"/>
      <c r="AW24" s="10"/>
      <c r="AZ24" s="10"/>
      <c r="BA24" s="10"/>
      <c r="BD24" s="10"/>
      <c r="BE24" s="10"/>
      <c r="BH24" s="10"/>
      <c r="BI24" s="10"/>
      <c r="BL24" s="10"/>
      <c r="BM24" s="10"/>
      <c r="BN24">
        <f>SUMIFS($D24:$BM24,$D$9:$BM$9,$H$1)</f>
        <v>0</v>
      </c>
      <c r="BO24">
        <f>SUMIFS($D24:$BM24,$D$9:$BM$9,$H$2)</f>
        <v>0</v>
      </c>
      <c r="BP24">
        <f>BN24-BO24</f>
        <v>0</v>
      </c>
    </row>
    <row r="25" spans="2:68">
      <c r="B25" s="6" t="s">
        <v>47</v>
      </c>
      <c r="C25" s="6" t="s">
        <v>48</v>
      </c>
      <c r="D25" s="10"/>
      <c r="E25" s="10"/>
      <c r="H25" s="10"/>
      <c r="I25" s="10"/>
      <c r="L25" s="10"/>
      <c r="M25" s="10"/>
      <c r="P25" s="10"/>
      <c r="Q25" s="10"/>
      <c r="T25" s="10"/>
      <c r="U25" s="10"/>
      <c r="X25" s="10"/>
      <c r="Y25" s="10"/>
      <c r="AB25" s="10"/>
      <c r="AC25" s="10"/>
      <c r="AF25" s="10"/>
      <c r="AG25" s="10"/>
      <c r="AJ25" s="10"/>
      <c r="AK25" s="10"/>
      <c r="AN25" s="10"/>
      <c r="AO25" s="10"/>
      <c r="AR25" s="10"/>
      <c r="AS25" s="10"/>
      <c r="AV25" s="10"/>
      <c r="AW25" s="10"/>
      <c r="AZ25" s="10"/>
      <c r="BA25" s="10"/>
      <c r="BD25" s="10"/>
      <c r="BE25" s="10"/>
      <c r="BH25" s="10"/>
      <c r="BI25" s="10"/>
      <c r="BL25" s="10"/>
      <c r="BM25" s="10"/>
      <c r="BN25">
        <f>SUMIFS($D25:$BM25,$D$9:$BM$9,$H$1)</f>
        <v>0</v>
      </c>
      <c r="BO25">
        <f>SUMIFS($D25:$BM25,$D$9:$BM$9,$H$2)</f>
        <v>0</v>
      </c>
      <c r="BP25">
        <f>BN25-BO25</f>
        <v>0</v>
      </c>
    </row>
    <row r="26" spans="2:68">
      <c r="B26" s="6" t="s">
        <v>49</v>
      </c>
      <c r="C26" s="6" t="s">
        <v>50</v>
      </c>
      <c r="D26" s="10"/>
      <c r="E26" s="10"/>
      <c r="H26" s="10"/>
      <c r="I26" s="10"/>
      <c r="L26" s="10"/>
      <c r="M26" s="10"/>
      <c r="P26" s="10"/>
      <c r="Q26" s="10"/>
      <c r="T26" s="10"/>
      <c r="U26" s="10"/>
      <c r="X26" s="10"/>
      <c r="Y26" s="10"/>
      <c r="AB26" s="10"/>
      <c r="AC26" s="10"/>
      <c r="AF26" s="10"/>
      <c r="AG26" s="10"/>
      <c r="AJ26" s="10"/>
      <c r="AK26" s="10"/>
      <c r="AN26" s="10"/>
      <c r="AO26" s="10"/>
      <c r="AR26" s="10"/>
      <c r="AS26" s="10"/>
      <c r="AV26" s="10"/>
      <c r="AW26" s="10"/>
      <c r="AZ26" s="10"/>
      <c r="BA26" s="10"/>
      <c r="BD26" s="10"/>
      <c r="BE26" s="10"/>
      <c r="BH26" s="10"/>
      <c r="BI26" s="10"/>
      <c r="BL26" s="10"/>
      <c r="BM26" s="10"/>
      <c r="BN26">
        <f>SUMIFS($D26:$BM26,$D$9:$BM$9,$H$1)</f>
        <v>0</v>
      </c>
      <c r="BO26">
        <f>SUMIFS($D26:$BM26,$D$9:$BM$9,$H$2)</f>
        <v>0</v>
      </c>
      <c r="BP26">
        <f>BN26-BO26</f>
        <v>0</v>
      </c>
    </row>
    <row r="27" spans="2:68">
      <c r="B27" s="6" t="s">
        <v>51</v>
      </c>
      <c r="C27" s="6" t="s">
        <v>50</v>
      </c>
      <c r="D27" s="10"/>
      <c r="E27" s="10"/>
      <c r="H27" s="10"/>
      <c r="I27" s="10"/>
      <c r="L27" s="10"/>
      <c r="M27" s="10"/>
      <c r="P27" s="10"/>
      <c r="Q27" s="10"/>
      <c r="T27" s="10"/>
      <c r="U27" s="10"/>
      <c r="X27" s="10"/>
      <c r="Y27" s="10"/>
      <c r="AB27" s="10"/>
      <c r="AC27" s="10"/>
      <c r="AF27" s="10"/>
      <c r="AG27" s="10"/>
      <c r="AJ27" s="10"/>
      <c r="AK27" s="10"/>
      <c r="AN27" s="10"/>
      <c r="AO27" s="10"/>
      <c r="AR27" s="10"/>
      <c r="AS27" s="10"/>
      <c r="AV27" s="10"/>
      <c r="AW27" s="10"/>
      <c r="AZ27" s="10"/>
      <c r="BA27" s="10"/>
      <c r="BD27" s="10"/>
      <c r="BE27" s="10"/>
      <c r="BH27" s="10"/>
      <c r="BI27" s="10"/>
      <c r="BL27" s="10"/>
      <c r="BM27" s="10"/>
      <c r="BN27">
        <f>SUMIFS($D27:$BM27,$D$9:$BM$9,$H$1)</f>
        <v>0</v>
      </c>
      <c r="BO27">
        <f>SUMIFS($D27:$BM27,$D$9:$BM$9,$H$2)</f>
        <v>0</v>
      </c>
      <c r="BP27">
        <f>BN27-BO27</f>
        <v>0</v>
      </c>
    </row>
    <row r="28" spans="2:68">
      <c r="B28" s="6" t="s">
        <v>52</v>
      </c>
      <c r="C28" s="6" t="s">
        <v>50</v>
      </c>
      <c r="D28" s="10"/>
      <c r="E28" s="15"/>
      <c r="F28" s="9"/>
      <c r="G28" s="9"/>
      <c r="H28" s="15"/>
      <c r="I28" s="15"/>
      <c r="J28" s="9"/>
      <c r="K28" s="9"/>
      <c r="L28" s="15"/>
      <c r="M28" s="15"/>
      <c r="N28" s="9"/>
      <c r="O28" s="9"/>
      <c r="P28" s="15"/>
      <c r="Q28" s="15"/>
      <c r="R28" s="9"/>
      <c r="S28" s="9"/>
      <c r="T28" s="15"/>
      <c r="U28" s="15"/>
      <c r="V28" s="9"/>
      <c r="W28" s="9"/>
      <c r="X28" s="15"/>
      <c r="Y28" s="15"/>
      <c r="Z28" s="9"/>
      <c r="AA28" s="9"/>
      <c r="AB28" s="15"/>
      <c r="AC28" s="15"/>
      <c r="AD28" s="9"/>
      <c r="AE28" s="9"/>
      <c r="AF28" s="15"/>
      <c r="AG28" s="15"/>
      <c r="AH28" s="9"/>
      <c r="AI28" s="9"/>
      <c r="AJ28" s="15"/>
      <c r="AK28" s="15"/>
      <c r="AL28" s="9"/>
      <c r="AM28" s="9"/>
      <c r="AN28" s="15"/>
      <c r="AO28" s="15"/>
      <c r="AP28" s="9"/>
      <c r="AQ28" s="9"/>
      <c r="AR28" s="15"/>
      <c r="AS28" s="15"/>
      <c r="AT28" s="9"/>
      <c r="AU28" s="9"/>
      <c r="AV28" s="15"/>
      <c r="AW28" s="15"/>
      <c r="AX28" s="9"/>
      <c r="AY28" s="9"/>
      <c r="AZ28" s="15"/>
      <c r="BA28" s="15"/>
      <c r="BB28" s="9"/>
      <c r="BC28" s="9"/>
      <c r="BD28" s="15"/>
      <c r="BE28" s="15"/>
      <c r="BF28" s="9"/>
      <c r="BG28" s="9"/>
      <c r="BH28" s="15"/>
      <c r="BI28" s="15"/>
      <c r="BJ28" s="9"/>
      <c r="BK28" s="9"/>
      <c r="BL28" s="15"/>
      <c r="BM28" s="10"/>
      <c r="BN28">
        <f>SUMIFS($D28:$BM28,$D$9:$BM$9,$H$1)</f>
        <v>0</v>
      </c>
      <c r="BO28">
        <f>SUMIFS($D28:$BM28,$D$9:$BM$9,$H$2)</f>
        <v>0</v>
      </c>
      <c r="BP28">
        <f>BN28-BO28</f>
        <v>0</v>
      </c>
    </row>
    <row r="29" spans="2:68">
      <c r="B29" s="6" t="s">
        <v>53</v>
      </c>
      <c r="C29" s="6" t="s">
        <v>54</v>
      </c>
      <c r="D29" s="10"/>
      <c r="E29" s="10"/>
      <c r="H29" s="10"/>
      <c r="I29" s="10"/>
      <c r="L29" s="10"/>
      <c r="M29" s="10"/>
      <c r="P29" s="10"/>
      <c r="Q29" s="10"/>
      <c r="T29" s="10"/>
      <c r="U29" s="10"/>
      <c r="X29" s="10"/>
      <c r="Y29" s="10"/>
      <c r="AB29" s="10"/>
      <c r="AC29" s="10"/>
      <c r="AF29" s="10"/>
      <c r="AG29" s="10"/>
      <c r="AJ29" s="10"/>
      <c r="AK29" s="10"/>
      <c r="AN29" s="10"/>
      <c r="AO29" s="10"/>
      <c r="AR29" s="10"/>
      <c r="AS29" s="10"/>
      <c r="AV29" s="10"/>
      <c r="AW29" s="10"/>
      <c r="AZ29" s="10"/>
      <c r="BA29" s="10"/>
      <c r="BD29" s="10"/>
      <c r="BE29" s="10"/>
      <c r="BH29" s="10"/>
      <c r="BI29" s="10"/>
      <c r="BL29" s="10"/>
      <c r="BM29" s="10"/>
      <c r="BN29">
        <f>SUMIFS($D29:$BM29,$D$9:$BM$9,$H$1)</f>
        <v>0</v>
      </c>
      <c r="BO29">
        <f>SUMIFS($D29:$BM29,$D$9:$BM$9,$H$2)</f>
        <v>0</v>
      </c>
      <c r="BP29">
        <f>BN29-BO29</f>
        <v>0</v>
      </c>
    </row>
    <row r="30" spans="2:68">
      <c r="B30" s="6" t="s">
        <v>55</v>
      </c>
      <c r="C30" s="6" t="s">
        <v>56</v>
      </c>
      <c r="D30" s="10"/>
      <c r="E30" s="10"/>
      <c r="H30" s="10"/>
      <c r="I30" s="10"/>
      <c r="L30" s="10"/>
      <c r="M30" s="10"/>
      <c r="P30" s="10"/>
      <c r="Q30" s="10"/>
      <c r="T30" s="10"/>
      <c r="U30" s="10"/>
      <c r="X30" s="10"/>
      <c r="Y30" s="10"/>
      <c r="AB30" s="10"/>
      <c r="AC30" s="10"/>
      <c r="AF30" s="10"/>
      <c r="AG30" s="10"/>
      <c r="AJ30" s="10"/>
      <c r="AK30" s="10"/>
      <c r="AN30" s="10"/>
      <c r="AO30" s="10"/>
      <c r="AR30" s="10"/>
      <c r="AS30" s="10"/>
      <c r="AV30" s="10"/>
      <c r="AW30" s="10"/>
      <c r="AZ30" s="10"/>
      <c r="BA30" s="10"/>
      <c r="BD30" s="10"/>
      <c r="BE30" s="10"/>
      <c r="BH30" s="10"/>
      <c r="BI30" s="10"/>
      <c r="BL30" s="10"/>
      <c r="BM30" s="10"/>
      <c r="BN30">
        <f>SUMIFS($D30:$BM30,$D$9:$BM$9,$H$1)</f>
        <v>0</v>
      </c>
      <c r="BO30">
        <f>SUMIFS($D30:$BM30,$D$9:$BM$9,$H$2)</f>
        <v>0</v>
      </c>
      <c r="BP30">
        <f>BN30-BO30</f>
        <v>0</v>
      </c>
    </row>
    <row r="31" spans="2:68">
      <c r="B31" s="6" t="s">
        <v>57</v>
      </c>
      <c r="C31" s="6" t="s">
        <v>56</v>
      </c>
      <c r="D31" s="10"/>
      <c r="E31" s="10"/>
      <c r="H31" s="10"/>
      <c r="I31" s="10"/>
      <c r="L31" s="10"/>
      <c r="M31" s="10"/>
      <c r="P31" s="10"/>
      <c r="Q31" s="10"/>
      <c r="T31" s="10"/>
      <c r="U31" s="10"/>
      <c r="X31" s="10"/>
      <c r="Y31" s="10"/>
      <c r="AB31" s="10"/>
      <c r="AC31" s="10"/>
      <c r="AF31" s="10"/>
      <c r="AG31" s="10"/>
      <c r="AJ31" s="10"/>
      <c r="AK31" s="10"/>
      <c r="AN31" s="10"/>
      <c r="AO31" s="10"/>
      <c r="AR31" s="10"/>
      <c r="AS31" s="10"/>
      <c r="AV31" s="10"/>
      <c r="AW31" s="10"/>
      <c r="AZ31" s="10"/>
      <c r="BA31" s="10"/>
      <c r="BD31" s="10"/>
      <c r="BE31" s="10"/>
      <c r="BH31" s="10"/>
      <c r="BI31" s="10"/>
      <c r="BL31" s="10"/>
      <c r="BM31" s="10"/>
      <c r="BN31">
        <f>SUMIFS($D31:$BM31,$D$9:$BM$9,$H$1)</f>
        <v>0</v>
      </c>
      <c r="BO31">
        <f>SUMIFS($D31:$BM31,$D$9:$BM$9,$H$2)</f>
        <v>0</v>
      </c>
      <c r="BP31">
        <f>BN31-BO31</f>
        <v>0</v>
      </c>
    </row>
    <row r="32" spans="2:68">
      <c r="B32" s="6" t="s">
        <v>58</v>
      </c>
      <c r="C32" s="6" t="s">
        <v>56</v>
      </c>
      <c r="D32" s="10"/>
      <c r="E32" s="10"/>
      <c r="H32" s="10"/>
      <c r="I32" s="10"/>
      <c r="L32" s="10"/>
      <c r="M32" s="10"/>
      <c r="P32" s="10"/>
      <c r="Q32" s="10"/>
      <c r="T32" s="10"/>
      <c r="U32" s="10"/>
      <c r="X32" s="10"/>
      <c r="Y32" s="10"/>
      <c r="AB32" s="10"/>
      <c r="AC32" s="10"/>
      <c r="AF32" s="10"/>
      <c r="AG32" s="10"/>
      <c r="AJ32" s="10"/>
      <c r="AK32" s="10"/>
      <c r="AN32" s="10"/>
      <c r="AO32" s="10"/>
      <c r="AR32" s="10"/>
      <c r="AS32" s="10"/>
      <c r="AV32" s="10"/>
      <c r="AW32" s="10"/>
      <c r="AZ32" s="10"/>
      <c r="BA32" s="10"/>
      <c r="BD32" s="10"/>
      <c r="BE32" s="10"/>
      <c r="BH32" s="10"/>
      <c r="BI32" s="10"/>
      <c r="BL32" s="10"/>
      <c r="BM32" s="10"/>
      <c r="BN32">
        <f>SUMIFS($D32:$BM32,$D$9:$BM$9,$H$1)</f>
        <v>0</v>
      </c>
      <c r="BO32">
        <f>SUMIFS($D32:$BM32,$D$9:$BM$9,$H$2)</f>
        <v>0</v>
      </c>
      <c r="BP32">
        <f>BN32-BO32</f>
        <v>0</v>
      </c>
    </row>
    <row r="33" spans="2:68">
      <c r="B33" s="6" t="s">
        <v>59</v>
      </c>
      <c r="C33" s="6" t="s">
        <v>56</v>
      </c>
      <c r="D33" s="10"/>
      <c r="E33" s="10"/>
      <c r="H33" s="10"/>
      <c r="I33" s="10"/>
      <c r="L33" s="10"/>
      <c r="M33" s="10"/>
      <c r="P33" s="10"/>
      <c r="Q33" s="10"/>
      <c r="T33" s="10"/>
      <c r="U33" s="10"/>
      <c r="X33" s="10"/>
      <c r="Y33" s="10"/>
      <c r="AB33" s="10"/>
      <c r="AC33" s="10"/>
      <c r="AF33" s="10"/>
      <c r="AG33" s="10"/>
      <c r="AJ33" s="10"/>
      <c r="AK33" s="10"/>
      <c r="AN33" s="10"/>
      <c r="AO33" s="10"/>
      <c r="AR33" s="10"/>
      <c r="AS33" s="10"/>
      <c r="AV33" s="10"/>
      <c r="AW33" s="10"/>
      <c r="AZ33" s="10"/>
      <c r="BA33" s="10"/>
      <c r="BD33" s="10"/>
      <c r="BE33" s="10"/>
      <c r="BH33" s="10"/>
      <c r="BI33" s="10"/>
      <c r="BL33" s="10"/>
      <c r="BM33" s="10"/>
      <c r="BN33">
        <f>SUMIFS($D33:$BM33,$D$9:$BM$9,$H$1)</f>
        <v>0</v>
      </c>
      <c r="BO33">
        <f>SUMIFS($D33:$BM33,$D$9:$BM$9,$H$2)</f>
        <v>0</v>
      </c>
      <c r="BP33">
        <f>BN33-BO33</f>
        <v>0</v>
      </c>
    </row>
    <row r="34" spans="2:68">
      <c r="B34" s="6" t="s">
        <v>60</v>
      </c>
      <c r="C34" s="6" t="s">
        <v>61</v>
      </c>
      <c r="D34" s="10"/>
      <c r="E34" s="10"/>
      <c r="H34" s="10"/>
      <c r="I34" s="10"/>
      <c r="L34" s="10"/>
      <c r="M34" s="10"/>
      <c r="P34" s="10"/>
      <c r="Q34" s="10"/>
      <c r="T34" s="10"/>
      <c r="U34" s="10"/>
      <c r="X34" s="10"/>
      <c r="Y34" s="10"/>
      <c r="AB34" s="10"/>
      <c r="AC34" s="10"/>
      <c r="AF34" s="10"/>
      <c r="AG34" s="10"/>
      <c r="AJ34" s="10"/>
      <c r="AK34" s="10"/>
      <c r="AN34" s="10"/>
      <c r="AO34" s="10"/>
      <c r="AR34" s="10"/>
      <c r="AS34" s="10"/>
      <c r="AV34" s="10"/>
      <c r="AW34" s="10"/>
      <c r="AZ34" s="10"/>
      <c r="BA34" s="10"/>
      <c r="BD34" s="10"/>
      <c r="BE34" s="10"/>
      <c r="BH34" s="10"/>
      <c r="BI34" s="10"/>
      <c r="BL34" s="10"/>
      <c r="BM34" s="10"/>
      <c r="BN34">
        <f>SUMIFS($D34:$BM34,$D$9:$BM$9,$H$1)</f>
        <v>0</v>
      </c>
      <c r="BO34">
        <f>SUMIFS($D34:$BM34,$D$9:$BM$9,$H$2)</f>
        <v>0</v>
      </c>
      <c r="BP34">
        <f>BN34-BO34</f>
        <v>0</v>
      </c>
    </row>
    <row r="35" spans="2:68">
      <c r="B35" s="6" t="s">
        <v>62</v>
      </c>
      <c r="C35" s="6" t="s">
        <v>63</v>
      </c>
      <c r="D35" s="10"/>
      <c r="E35" s="10"/>
      <c r="H35" s="10"/>
      <c r="I35" s="10"/>
      <c r="L35" s="10"/>
      <c r="M35" s="10"/>
      <c r="P35" s="10"/>
      <c r="Q35" s="10"/>
      <c r="T35" s="10"/>
      <c r="U35" s="10"/>
      <c r="X35" s="10"/>
      <c r="Y35" s="10"/>
      <c r="AB35" s="10"/>
      <c r="AC35" s="10"/>
      <c r="AF35" s="10"/>
      <c r="AG35" s="10"/>
      <c r="AJ35" s="10"/>
      <c r="AK35" s="10"/>
      <c r="AN35" s="10"/>
      <c r="AO35" s="10"/>
      <c r="AR35" s="10"/>
      <c r="AS35" s="10"/>
      <c r="AV35" s="10"/>
      <c r="AW35" s="10"/>
      <c r="AZ35" s="10"/>
      <c r="BA35" s="10"/>
      <c r="BD35" s="10"/>
      <c r="BE35" s="10"/>
      <c r="BH35" s="10"/>
      <c r="BI35" s="10"/>
      <c r="BL35" s="10"/>
      <c r="BM35" s="10"/>
      <c r="BN35">
        <f>SUMIFS($D35:$BM35,$D$9:$BM$9,$H$1)</f>
        <v>0</v>
      </c>
      <c r="BO35">
        <f>SUMIFS($D35:$BM35,$D$9:$BM$9,$H$2)</f>
        <v>0</v>
      </c>
      <c r="BP35">
        <f>BN35-BO35</f>
        <v>0</v>
      </c>
    </row>
    <row r="36" spans="2:68">
      <c r="B36" s="6" t="s">
        <v>64</v>
      </c>
      <c r="C36" s="6" t="s">
        <v>63</v>
      </c>
      <c r="D36" s="10"/>
      <c r="E36" s="10"/>
      <c r="H36" s="10"/>
      <c r="I36" s="10"/>
      <c r="L36" s="10"/>
      <c r="M36" s="10"/>
      <c r="P36" s="10"/>
      <c r="Q36" s="10"/>
      <c r="T36" s="10"/>
      <c r="U36" s="10"/>
      <c r="X36" s="10"/>
      <c r="Y36" s="10"/>
      <c r="AB36" s="10"/>
      <c r="AC36" s="10"/>
      <c r="AF36" s="10"/>
      <c r="AG36" s="10"/>
      <c r="AJ36" s="10"/>
      <c r="AK36" s="10"/>
      <c r="AN36" s="10"/>
      <c r="AO36" s="10"/>
      <c r="AR36" s="10"/>
      <c r="AS36" s="10"/>
      <c r="AV36" s="10"/>
      <c r="AW36" s="10"/>
      <c r="AZ36" s="10"/>
      <c r="BA36" s="10"/>
      <c r="BD36" s="10"/>
      <c r="BE36" s="10"/>
      <c r="BH36" s="10"/>
      <c r="BI36" s="10"/>
      <c r="BL36" s="10"/>
      <c r="BM36" s="10"/>
      <c r="BN36">
        <f>SUMIFS($D36:$BM36,$D$9:$BM$9,$H$1)</f>
        <v>0</v>
      </c>
      <c r="BO36">
        <f>SUMIFS($D36:$BM36,$D$9:$BM$9,$H$2)</f>
        <v>0</v>
      </c>
      <c r="BP36">
        <f>BN36-BO36</f>
        <v>0</v>
      </c>
    </row>
    <row r="37" spans="2:68">
      <c r="B37" s="6" t="s">
        <v>65</v>
      </c>
      <c r="C37" s="6" t="s">
        <v>66</v>
      </c>
      <c r="D37" s="10"/>
      <c r="E37" s="10"/>
      <c r="H37" s="10"/>
      <c r="I37" s="10"/>
      <c r="L37" s="10"/>
      <c r="M37" s="10"/>
      <c r="P37" s="10"/>
      <c r="Q37" s="10"/>
      <c r="T37" s="10"/>
      <c r="U37" s="10"/>
      <c r="X37" s="10"/>
      <c r="Y37" s="10"/>
      <c r="AB37" s="10"/>
      <c r="AC37" s="10"/>
      <c r="AF37" s="10"/>
      <c r="AG37" s="10"/>
      <c r="AJ37" s="10"/>
      <c r="AK37" s="10"/>
      <c r="AN37" s="10"/>
      <c r="AO37" s="10"/>
      <c r="AR37" s="10"/>
      <c r="AS37" s="10"/>
      <c r="AV37" s="10"/>
      <c r="AW37" s="10"/>
      <c r="AZ37" s="10"/>
      <c r="BA37" s="10"/>
      <c r="BD37" s="10"/>
      <c r="BE37" s="10"/>
      <c r="BH37" s="10"/>
      <c r="BI37" s="10"/>
      <c r="BL37" s="10"/>
      <c r="BM37" s="10"/>
      <c r="BN37">
        <f>SUMIFS($D37:$BM37,$D$9:$BM$9,$H$1)</f>
        <v>0</v>
      </c>
      <c r="BO37">
        <f>SUMIFS($D37:$BM37,$D$9:$BM$9,$H$2)</f>
        <v>0</v>
      </c>
      <c r="BP37">
        <f>BN37-BO37</f>
        <v>0</v>
      </c>
    </row>
    <row r="38" spans="2:68">
      <c r="B38" s="6" t="s">
        <v>67</v>
      </c>
      <c r="C38" s="6" t="s">
        <v>68</v>
      </c>
      <c r="D38" s="10"/>
      <c r="E38" s="10"/>
      <c r="H38" s="10"/>
      <c r="I38" s="10"/>
      <c r="L38" s="10"/>
      <c r="M38" s="10"/>
      <c r="P38" s="10"/>
      <c r="Q38" s="10"/>
      <c r="T38" s="10"/>
      <c r="U38" s="10"/>
      <c r="X38" s="10"/>
      <c r="Y38" s="10"/>
      <c r="AB38" s="10"/>
      <c r="AC38" s="10"/>
      <c r="AF38" s="10"/>
      <c r="AG38" s="10"/>
      <c r="AJ38" s="10"/>
      <c r="AK38" s="10"/>
      <c r="AN38" s="10"/>
      <c r="AO38" s="10"/>
      <c r="AR38" s="10"/>
      <c r="AS38" s="10"/>
      <c r="AV38" s="10"/>
      <c r="AW38" s="10"/>
      <c r="AZ38" s="10"/>
      <c r="BA38" s="10"/>
      <c r="BD38" s="10"/>
      <c r="BE38" s="10"/>
      <c r="BH38" s="10"/>
      <c r="BI38" s="10"/>
      <c r="BL38" s="10"/>
      <c r="BM38" s="10"/>
      <c r="BN38">
        <f>SUMIFS($D38:$BM38,$D$9:$BM$9,$H$1)</f>
        <v>0</v>
      </c>
      <c r="BO38">
        <f>SUMIFS($D38:$BM38,$D$9:$BM$9,$H$2)</f>
        <v>0</v>
      </c>
      <c r="BP38">
        <f>BN38-BO38</f>
        <v>0</v>
      </c>
    </row>
    <row r="39" spans="2:68">
      <c r="B39" s="6" t="s">
        <v>69</v>
      </c>
      <c r="C39" s="6" t="s">
        <v>70</v>
      </c>
      <c r="D39" s="10"/>
      <c r="E39" s="10"/>
      <c r="H39" s="10"/>
      <c r="I39" s="10"/>
      <c r="L39" s="10"/>
      <c r="M39" s="10"/>
      <c r="P39" s="10"/>
      <c r="Q39" s="10"/>
      <c r="T39" s="10"/>
      <c r="U39" s="10"/>
      <c r="X39" s="10"/>
      <c r="Y39" s="10"/>
      <c r="AB39" s="10"/>
      <c r="AC39" s="10"/>
      <c r="AF39" s="10"/>
      <c r="AG39" s="10"/>
      <c r="AJ39" s="10"/>
      <c r="AK39" s="10"/>
      <c r="AN39" s="10"/>
      <c r="AO39" s="10"/>
      <c r="AR39" s="10"/>
      <c r="AS39" s="10"/>
      <c r="AV39" s="10"/>
      <c r="AW39" s="10"/>
      <c r="AZ39" s="10"/>
      <c r="BA39" s="10"/>
      <c r="BD39" s="10"/>
      <c r="BE39" s="10"/>
      <c r="BH39" s="10"/>
      <c r="BI39" s="10"/>
      <c r="BL39" s="10"/>
      <c r="BM39" s="10"/>
      <c r="BN39">
        <f>SUMIFS($D39:$BM39,$D$9:$BM$9,$H$1)</f>
        <v>0</v>
      </c>
      <c r="BO39">
        <f>SUMIFS($D39:$BM39,$D$9:$BM$9,$H$2)</f>
        <v>0</v>
      </c>
      <c r="BP39">
        <f>BN39-BO39</f>
        <v>0</v>
      </c>
    </row>
    <row r="40" spans="2:68">
      <c r="B40" s="6" t="s">
        <v>71</v>
      </c>
      <c r="C40" s="6" t="s">
        <v>72</v>
      </c>
      <c r="D40" s="10"/>
      <c r="E40" s="10"/>
      <c r="H40" s="10"/>
      <c r="I40" s="10"/>
      <c r="L40" s="10"/>
      <c r="M40" s="10"/>
      <c r="P40" s="10"/>
      <c r="Q40" s="10"/>
      <c r="T40" s="10"/>
      <c r="U40" s="10"/>
      <c r="X40" s="10"/>
      <c r="Y40" s="10"/>
      <c r="AB40" s="10"/>
      <c r="AC40" s="10"/>
      <c r="AF40" s="10"/>
      <c r="AG40" s="10"/>
      <c r="AJ40" s="10"/>
      <c r="AK40" s="10"/>
      <c r="AN40" s="10"/>
      <c r="AO40" s="10"/>
      <c r="AR40" s="10"/>
      <c r="AS40" s="10"/>
      <c r="AV40" s="10"/>
      <c r="AW40" s="10"/>
      <c r="AZ40" s="10"/>
      <c r="BA40" s="10"/>
      <c r="BD40" s="10"/>
      <c r="BE40" s="10"/>
      <c r="BH40" s="10"/>
      <c r="BI40" s="10"/>
      <c r="BL40" s="10"/>
      <c r="BM40" s="10"/>
      <c r="BN40">
        <f>SUMIFS($D40:$BM40,$D$9:$BM$9,$H$1)</f>
        <v>0</v>
      </c>
      <c r="BO40">
        <f>SUMIFS($D40:$BM40,$D$9:$BM$9,$H$2)</f>
        <v>0</v>
      </c>
      <c r="BP40">
        <f>BN40-BO40</f>
        <v>0</v>
      </c>
    </row>
    <row r="41" spans="2:68">
      <c r="B41" s="6" t="s">
        <v>18</v>
      </c>
      <c r="C41" s="6" t="s">
        <v>19</v>
      </c>
      <c r="D41" s="10">
        <v>8</v>
      </c>
      <c r="E41" s="15">
        <v>8</v>
      </c>
      <c r="F41" s="9">
        <v>7</v>
      </c>
      <c r="G41" s="9">
        <v>1</v>
      </c>
      <c r="H41" s="15">
        <v>10</v>
      </c>
      <c r="I41" s="15"/>
      <c r="J41" s="15"/>
      <c r="K41" s="9"/>
      <c r="L41" s="15"/>
      <c r="M41" s="15"/>
      <c r="N41" s="9"/>
      <c r="O41" s="9"/>
      <c r="P41" s="15"/>
      <c r="Q41" s="15"/>
      <c r="R41" s="15"/>
      <c r="S41" s="9"/>
      <c r="T41" s="15"/>
      <c r="U41" s="15"/>
      <c r="V41" s="9"/>
      <c r="W41" s="9"/>
      <c r="X41" s="15"/>
      <c r="Y41" s="15"/>
      <c r="Z41" s="9"/>
      <c r="AA41" s="9"/>
      <c r="AB41" s="15"/>
      <c r="AC41" s="15"/>
      <c r="AD41" s="9"/>
      <c r="AE41" s="9"/>
      <c r="AF41" s="15"/>
      <c r="AG41" s="15"/>
      <c r="AH41" s="9"/>
      <c r="AI41" s="9"/>
      <c r="AJ41" s="15"/>
      <c r="AK41" s="15"/>
      <c r="AL41" s="9"/>
      <c r="AM41" s="9"/>
      <c r="AN41" s="15"/>
      <c r="AO41" s="15"/>
      <c r="AP41" s="9"/>
      <c r="AQ41" s="9"/>
      <c r="AR41" s="15"/>
      <c r="AS41" s="15"/>
      <c r="AT41" s="9"/>
      <c r="AU41" s="9"/>
      <c r="AV41" s="15"/>
      <c r="AW41" s="15"/>
      <c r="AX41" s="9"/>
      <c r="AY41" s="9"/>
      <c r="AZ41" s="15"/>
      <c r="BA41" s="15"/>
      <c r="BB41" s="9"/>
      <c r="BC41" s="9"/>
      <c r="BD41" s="15"/>
      <c r="BE41" s="15"/>
      <c r="BF41" s="9"/>
      <c r="BG41" s="9"/>
      <c r="BH41" s="15"/>
      <c r="BI41" s="15"/>
      <c r="BJ41" s="9"/>
      <c r="BK41" s="9"/>
      <c r="BL41" s="15"/>
      <c r="BM41" s="10"/>
      <c r="BN41">
        <f>SUMIFS($D41:$BM41,$D$9:$BM$9,$H$1)</f>
        <v>25</v>
      </c>
      <c r="BO41">
        <f>SUMIFS($D41:$BM41,$D$9:$BM$9,$H$2)</f>
        <v>9</v>
      </c>
      <c r="BP41">
        <f>BN41-BO41</f>
        <v>16</v>
      </c>
    </row>
    <row r="42" spans="2:68">
      <c r="B42" s="6" t="s">
        <v>73</v>
      </c>
      <c r="C42" s="6" t="s">
        <v>74</v>
      </c>
      <c r="D42" s="10"/>
      <c r="E42" s="10"/>
      <c r="H42" s="10"/>
      <c r="I42" s="10"/>
      <c r="L42" s="10"/>
      <c r="M42" s="10"/>
      <c r="P42" s="10"/>
      <c r="Q42" s="10"/>
      <c r="T42" s="10"/>
      <c r="U42" s="10"/>
      <c r="X42" s="10"/>
      <c r="Y42" s="10"/>
      <c r="AB42" s="10"/>
      <c r="AC42" s="10"/>
      <c r="AF42" s="10"/>
      <c r="AG42" s="10"/>
      <c r="AJ42" s="10"/>
      <c r="AK42" s="10"/>
      <c r="AN42" s="10"/>
      <c r="AO42" s="10"/>
      <c r="AR42" s="10"/>
      <c r="AS42" s="10"/>
      <c r="AV42" s="10"/>
      <c r="AW42" s="10"/>
      <c r="AZ42" s="10"/>
      <c r="BA42" s="10"/>
      <c r="BD42" s="10"/>
      <c r="BE42" s="10"/>
      <c r="BH42" s="10"/>
      <c r="BI42" s="10"/>
      <c r="BL42" s="10"/>
      <c r="BM42" s="10"/>
      <c r="BN42">
        <f>SUMIFS($D42:$BM42,$D$9:$BM$9,$H$1)</f>
        <v>0</v>
      </c>
      <c r="BO42">
        <f>SUMIFS($D42:$BM42,$D$9:$BM$9,$H$2)</f>
        <v>0</v>
      </c>
      <c r="BP42">
        <f>BN42-BO42</f>
        <v>0</v>
      </c>
    </row>
    <row r="43" spans="2:68">
      <c r="B43" s="6" t="s">
        <v>75</v>
      </c>
      <c r="C43" s="6" t="s">
        <v>76</v>
      </c>
      <c r="D43" s="10"/>
      <c r="E43" s="10"/>
      <c r="H43" s="10"/>
      <c r="I43" s="10"/>
      <c r="L43" s="10"/>
      <c r="M43" s="10"/>
      <c r="P43" s="10"/>
      <c r="Q43" s="10"/>
      <c r="T43" s="10"/>
      <c r="U43" s="10"/>
      <c r="X43" s="10"/>
      <c r="Y43" s="10"/>
      <c r="AB43" s="10"/>
      <c r="AC43" s="10"/>
      <c r="AF43" s="10"/>
      <c r="AG43" s="10"/>
      <c r="AJ43" s="10"/>
      <c r="AK43" s="10"/>
      <c r="AN43" s="10"/>
      <c r="AO43" s="10"/>
      <c r="AR43" s="10"/>
      <c r="AS43" s="10"/>
      <c r="AV43" s="10"/>
      <c r="AW43" s="10"/>
      <c r="AZ43" s="10"/>
      <c r="BA43" s="10"/>
      <c r="BD43" s="10"/>
      <c r="BE43" s="10"/>
      <c r="BH43" s="10"/>
      <c r="BI43" s="10"/>
      <c r="BL43" s="10"/>
      <c r="BM43" s="10"/>
      <c r="BN43">
        <f>SUMIFS($D43:$BM43,$D$9:$BM$9,$H$1)</f>
        <v>0</v>
      </c>
      <c r="BO43">
        <f>SUMIFS($D43:$BM43,$D$9:$BM$9,$H$2)</f>
        <v>0</v>
      </c>
      <c r="BP43">
        <f>BN43-BO43</f>
        <v>0</v>
      </c>
    </row>
    <row r="44" spans="2:68">
      <c r="B44" s="6" t="s">
        <v>77</v>
      </c>
      <c r="C44" s="6" t="s">
        <v>78</v>
      </c>
      <c r="D44" s="10"/>
      <c r="E44" s="10"/>
      <c r="H44" s="10"/>
      <c r="I44" s="10"/>
      <c r="L44" s="10"/>
      <c r="M44" s="10"/>
      <c r="P44" s="10"/>
      <c r="Q44" s="10"/>
      <c r="T44" s="10"/>
      <c r="U44" s="10"/>
      <c r="X44" s="10"/>
      <c r="Y44" s="10"/>
      <c r="AB44" s="10"/>
      <c r="AC44" s="10"/>
      <c r="AF44" s="10"/>
      <c r="AG44" s="10"/>
      <c r="AJ44" s="10"/>
      <c r="AK44" s="10"/>
      <c r="AN44" s="10"/>
      <c r="AO44" s="10"/>
      <c r="AR44" s="10"/>
      <c r="AS44" s="10"/>
      <c r="AV44" s="10"/>
      <c r="AW44" s="10"/>
      <c r="AZ44" s="10"/>
      <c r="BA44" s="10"/>
      <c r="BD44" s="10"/>
      <c r="BE44" s="10"/>
      <c r="BH44" s="10"/>
      <c r="BI44" s="10"/>
      <c r="BL44" s="10"/>
      <c r="BM44" s="10"/>
      <c r="BN44">
        <f>SUMIFS($D44:$BM44,$D$9:$BM$9,$H$1)</f>
        <v>0</v>
      </c>
      <c r="BO44">
        <f>SUMIFS($D44:$BM44,$D$9:$BM$9,$H$2)</f>
        <v>0</v>
      </c>
      <c r="BP44">
        <f>BN44-BO44</f>
        <v>0</v>
      </c>
    </row>
    <row r="45" spans="2:68">
      <c r="B45" s="6" t="s">
        <v>79</v>
      </c>
      <c r="C45" s="6" t="s">
        <v>78</v>
      </c>
      <c r="D45" s="10"/>
      <c r="E45" s="10"/>
      <c r="H45" s="10"/>
      <c r="I45" s="10"/>
      <c r="L45" s="10"/>
      <c r="M45" s="10"/>
      <c r="P45" s="10"/>
      <c r="Q45" s="10"/>
      <c r="T45" s="10"/>
      <c r="U45" s="10"/>
      <c r="X45" s="10"/>
      <c r="Y45" s="10"/>
      <c r="AB45" s="10"/>
      <c r="AC45" s="10"/>
      <c r="AF45" s="10"/>
      <c r="AG45" s="10"/>
      <c r="AJ45" s="10"/>
      <c r="AK45" s="10"/>
      <c r="AN45" s="10"/>
      <c r="AO45" s="10"/>
      <c r="AR45" s="10"/>
      <c r="AS45" s="10"/>
      <c r="AV45" s="10"/>
      <c r="AW45" s="10"/>
      <c r="AZ45" s="10"/>
      <c r="BA45" s="10"/>
      <c r="BD45" s="10"/>
      <c r="BE45" s="10"/>
      <c r="BH45" s="10"/>
      <c r="BI45" s="10"/>
      <c r="BL45" s="10"/>
      <c r="BM45" s="10"/>
      <c r="BN45">
        <f>SUMIFS($D45:$BM45,$D$9:$BM$9,$H$1)</f>
        <v>0</v>
      </c>
      <c r="BO45">
        <f>SUMIFS($D45:$BM45,$D$9:$BM$9,$H$2)</f>
        <v>0</v>
      </c>
      <c r="BP45">
        <f>BN45-BO45</f>
        <v>0</v>
      </c>
    </row>
    <row r="46" spans="2:68">
      <c r="B46" s="6" t="s">
        <v>80</v>
      </c>
      <c r="C46" s="6" t="s">
        <v>81</v>
      </c>
      <c r="D46" s="10"/>
      <c r="E46" s="10"/>
      <c r="H46" s="10"/>
      <c r="I46" s="10"/>
      <c r="L46" s="10"/>
      <c r="M46" s="10"/>
      <c r="P46" s="10"/>
      <c r="Q46" s="10"/>
      <c r="T46" s="10"/>
      <c r="U46" s="10"/>
      <c r="X46" s="10"/>
      <c r="Y46" s="10"/>
      <c r="AB46" s="10"/>
      <c r="AC46" s="10"/>
      <c r="AF46" s="10"/>
      <c r="AG46" s="10"/>
      <c r="AJ46" s="10"/>
      <c r="AK46" s="10"/>
      <c r="AN46" s="10"/>
      <c r="AO46" s="10"/>
      <c r="AR46" s="10"/>
      <c r="AS46" s="10"/>
      <c r="AV46" s="10"/>
      <c r="AW46" s="10"/>
      <c r="AZ46" s="10"/>
      <c r="BA46" s="10"/>
      <c r="BD46" s="10"/>
      <c r="BE46" s="10"/>
      <c r="BH46" s="10"/>
      <c r="BI46" s="10"/>
      <c r="BL46" s="10"/>
      <c r="BM46" s="10"/>
      <c r="BN46">
        <f>SUMIFS($D46:$BM46,$D$9:$BM$9,$H$1)</f>
        <v>0</v>
      </c>
      <c r="BO46">
        <f>SUMIFS($D46:$BM46,$D$9:$BM$9,$H$2)</f>
        <v>0</v>
      </c>
      <c r="BP46">
        <f>BN46-BO46</f>
        <v>0</v>
      </c>
    </row>
    <row r="47" spans="2:68">
      <c r="B47" s="6" t="s">
        <v>82</v>
      </c>
      <c r="C47" s="6" t="s">
        <v>81</v>
      </c>
      <c r="D47" s="10"/>
      <c r="E47" s="10"/>
      <c r="H47" s="10"/>
      <c r="I47" s="10"/>
      <c r="L47" s="10"/>
      <c r="M47" s="10"/>
      <c r="P47" s="10"/>
      <c r="Q47" s="10"/>
      <c r="T47" s="10"/>
      <c r="U47" s="10"/>
      <c r="X47" s="10"/>
      <c r="Y47" s="10"/>
      <c r="AB47" s="10"/>
      <c r="AC47" s="10"/>
      <c r="AF47" s="10"/>
      <c r="AG47" s="10"/>
      <c r="AJ47" s="10"/>
      <c r="AK47" s="10"/>
      <c r="AN47" s="10"/>
      <c r="AO47" s="10"/>
      <c r="AR47" s="10"/>
      <c r="AS47" s="10"/>
      <c r="AV47" s="10"/>
      <c r="AW47" s="10"/>
      <c r="AZ47" s="10"/>
      <c r="BA47" s="10"/>
      <c r="BD47" s="10"/>
      <c r="BE47" s="10"/>
      <c r="BH47" s="10"/>
      <c r="BI47" s="10"/>
      <c r="BL47" s="10"/>
      <c r="BM47" s="10"/>
      <c r="BN47">
        <f>SUMIFS($D47:$BM47,$D$9:$BM$9,$H$1)</f>
        <v>0</v>
      </c>
      <c r="BO47">
        <f>SUMIFS($D47:$BM47,$D$9:$BM$9,$H$2)</f>
        <v>0</v>
      </c>
      <c r="BP47">
        <f>BN47-BO47</f>
        <v>0</v>
      </c>
    </row>
    <row r="48" spans="2:68">
      <c r="B48" s="6" t="s">
        <v>83</v>
      </c>
      <c r="C48" s="6" t="s">
        <v>84</v>
      </c>
      <c r="D48" s="15"/>
      <c r="E48" s="15"/>
      <c r="F48" s="9"/>
      <c r="G48" s="9"/>
      <c r="H48" s="15"/>
      <c r="I48" s="15"/>
      <c r="J48" s="9"/>
      <c r="K48" s="9"/>
      <c r="L48" s="15"/>
      <c r="M48" s="15"/>
      <c r="N48" s="9"/>
      <c r="O48" s="9"/>
      <c r="P48" s="15"/>
      <c r="Q48" s="15"/>
      <c r="R48" s="9"/>
      <c r="S48" s="9"/>
      <c r="T48" s="15"/>
      <c r="U48" s="15"/>
      <c r="V48" s="9"/>
      <c r="W48" s="9"/>
      <c r="X48" s="15"/>
      <c r="Y48" s="15"/>
      <c r="Z48" s="9"/>
      <c r="AA48" s="9"/>
      <c r="AB48" s="15"/>
      <c r="AC48" s="15"/>
      <c r="AD48" s="9"/>
      <c r="AE48" s="9"/>
      <c r="AF48" s="15"/>
      <c r="AG48" s="15"/>
      <c r="AH48" s="9"/>
      <c r="AI48" s="9"/>
      <c r="AJ48" s="15"/>
      <c r="AK48" s="15"/>
      <c r="AL48" s="9"/>
      <c r="AM48" s="9"/>
      <c r="AN48" s="15"/>
      <c r="AO48" s="15"/>
      <c r="AP48" s="9"/>
      <c r="AQ48" s="9"/>
      <c r="AR48" s="15"/>
      <c r="AS48" s="15"/>
      <c r="AT48" s="9"/>
      <c r="AU48" s="9"/>
      <c r="AV48" s="15"/>
      <c r="AW48" s="15"/>
      <c r="AX48" s="9"/>
      <c r="AY48" s="9"/>
      <c r="AZ48" s="15"/>
      <c r="BA48" s="15"/>
      <c r="BB48" s="9"/>
      <c r="BC48" s="9"/>
      <c r="BD48" s="15"/>
      <c r="BE48" s="15"/>
      <c r="BF48" s="9"/>
      <c r="BG48" s="9"/>
      <c r="BH48" s="15"/>
      <c r="BI48" s="15"/>
      <c r="BJ48" s="9"/>
      <c r="BK48" s="9"/>
      <c r="BL48" s="15"/>
      <c r="BM48" s="15"/>
      <c r="BN48">
        <f>SUMIFS($D48:$BM48,$D$9:$BM$9,$H$1)</f>
        <v>0</v>
      </c>
      <c r="BO48">
        <f>SUMIFS($D48:$BM48,$D$9:$BM$9,$H$2)</f>
        <v>0</v>
      </c>
      <c r="BP48">
        <f>BN48-BO48</f>
        <v>0</v>
      </c>
    </row>
    <row r="49" spans="2:68">
      <c r="B49" s="6" t="s">
        <v>85</v>
      </c>
      <c r="C49" s="6" t="s">
        <v>86</v>
      </c>
      <c r="D49" s="10"/>
      <c r="E49" s="10"/>
      <c r="H49" s="10"/>
      <c r="I49" s="10"/>
      <c r="L49" s="10"/>
      <c r="M49" s="10"/>
      <c r="P49" s="10"/>
      <c r="Q49" s="10"/>
      <c r="T49" s="10"/>
      <c r="U49" s="10"/>
      <c r="X49" s="10"/>
      <c r="Y49" s="10"/>
      <c r="AB49" s="10"/>
      <c r="AC49" s="10"/>
      <c r="AF49" s="10"/>
      <c r="AG49" s="10"/>
      <c r="AJ49" s="10"/>
      <c r="AK49" s="10"/>
      <c r="AN49" s="10"/>
      <c r="AO49" s="10"/>
      <c r="AR49" s="10"/>
      <c r="AS49" s="10"/>
      <c r="AV49" s="10"/>
      <c r="AW49" s="10"/>
      <c r="AZ49" s="10"/>
      <c r="BA49" s="10"/>
      <c r="BD49" s="10"/>
      <c r="BE49" s="10"/>
      <c r="BH49" s="10"/>
      <c r="BI49" s="10"/>
      <c r="BL49" s="10"/>
      <c r="BM49" s="10"/>
      <c r="BN49">
        <f>SUMIFS($D49:$BM49,$D$9:$BM$9,$H$1)</f>
        <v>0</v>
      </c>
      <c r="BO49">
        <f>SUMIFS($D49:$BM49,$D$9:$BM$9,$H$2)</f>
        <v>0</v>
      </c>
      <c r="BP49">
        <f>BN49-BO49</f>
        <v>0</v>
      </c>
    </row>
    <row r="50" spans="2:68">
      <c r="B50" s="6" t="s">
        <v>87</v>
      </c>
      <c r="C50" s="6" t="s">
        <v>88</v>
      </c>
      <c r="BN50">
        <f>SUMIFS($D50:$BM50,$D$9:$BM$9,$H$1)</f>
        <v>0</v>
      </c>
      <c r="BO50">
        <f>SUMIFS($D50:$BM50,$D$9:$BM$9,$H$2)</f>
        <v>0</v>
      </c>
      <c r="BP50">
        <f>BN50-BO50</f>
        <v>0</v>
      </c>
    </row>
    <row r="51" spans="2:68">
      <c r="B51" s="6" t="s">
        <v>89</v>
      </c>
      <c r="C51" s="6" t="s">
        <v>88</v>
      </c>
      <c r="BN51">
        <f>SUMIFS($D51:$BM51,$D$9:$BM$9,$H$1)</f>
        <v>0</v>
      </c>
      <c r="BO51">
        <f>SUMIFS($D51:$BM51,$D$9:$BM$9,$H$2)</f>
        <v>0</v>
      </c>
      <c r="BP51">
        <f>BN51-BO51</f>
        <v>0</v>
      </c>
    </row>
    <row r="52" spans="2:68">
      <c r="B52" s="6" t="s">
        <v>90</v>
      </c>
      <c r="C52" s="6" t="s">
        <v>91</v>
      </c>
      <c r="BN52">
        <f>SUMIFS($D52:$BM52,$D$9:$BM$9,$H$1)</f>
        <v>0</v>
      </c>
      <c r="BO52">
        <f>SUMIFS($D52:$BM52,$D$9:$BM$9,$H$2)</f>
        <v>0</v>
      </c>
      <c r="BP52">
        <f>BN52-BO52</f>
        <v>0</v>
      </c>
    </row>
    <row r="53" spans="2:68">
      <c r="B53" s="6" t="s">
        <v>92</v>
      </c>
      <c r="C53" s="6" t="s">
        <v>91</v>
      </c>
      <c r="BN53">
        <f>SUMIFS($D53:$BM53,$D$9:$BM$9,$H$1)</f>
        <v>0</v>
      </c>
      <c r="BO53">
        <f>SUMIFS($D53:$BM53,$D$9:$BM$9,$H$2)</f>
        <v>0</v>
      </c>
      <c r="BP53">
        <f>BN53-BO53</f>
        <v>0</v>
      </c>
    </row>
    <row r="54" spans="2:68">
      <c r="B54" s="6" t="s">
        <v>93</v>
      </c>
      <c r="C54" s="6" t="s">
        <v>94</v>
      </c>
      <c r="BN54">
        <f>SUMIFS($D54:$BM54,$D$9:$BM$9,$H$1)</f>
        <v>0</v>
      </c>
      <c r="BO54">
        <f>SUMIFS($D54:$BM54,$D$9:$BM$9,$H$2)</f>
        <v>0</v>
      </c>
      <c r="BP54">
        <f>BN54-BO54</f>
        <v>0</v>
      </c>
    </row>
    <row r="55" spans="2:68">
      <c r="B55" s="6" t="s">
        <v>95</v>
      </c>
      <c r="C55" s="6" t="s">
        <v>94</v>
      </c>
      <c r="BN55">
        <f>SUMIFS($D55:$BM55,$D$9:$BM$9,$H$1)</f>
        <v>0</v>
      </c>
      <c r="BO55">
        <f>SUMIFS($D55:$BM55,$D$9:$BM$9,$H$2)</f>
        <v>0</v>
      </c>
      <c r="BP55">
        <f>BN55-BO55</f>
        <v>0</v>
      </c>
    </row>
    <row r="56" spans="2:68">
      <c r="B56" s="6" t="s">
        <v>96</v>
      </c>
      <c r="C56" s="6" t="s">
        <v>97</v>
      </c>
      <c r="BN56">
        <f>SUMIFS($D56:$BM56,$D$9:$BM$9,$H$1)</f>
        <v>0</v>
      </c>
      <c r="BO56">
        <f>SUMIFS($D56:$BM56,$D$9:$BM$9,$H$2)</f>
        <v>0</v>
      </c>
      <c r="BP56">
        <f>BN56-BO56</f>
        <v>0</v>
      </c>
    </row>
    <row r="57" spans="2:68">
      <c r="B57" s="6" t="s">
        <v>98</v>
      </c>
      <c r="C57" s="6" t="s">
        <v>99</v>
      </c>
      <c r="BN57">
        <f>SUMIFS($D57:$BM57,$D$9:$BM$9,$H$1)</f>
        <v>0</v>
      </c>
      <c r="BO57">
        <f>SUMIFS($D57:$BM57,$D$9:$BM$9,$H$2)</f>
        <v>0</v>
      </c>
      <c r="BP57">
        <f>BN57-BO57</f>
        <v>0</v>
      </c>
    </row>
  </sheetData>
  <sortState xmlns:xlrd2="http://schemas.microsoft.com/office/spreadsheetml/2017/richdata2" ref="B10:BP57">
    <sortCondition ref="C10:C57"/>
  </sortState>
  <mergeCells count="93">
    <mergeCell ref="AP7:AQ7"/>
    <mergeCell ref="AR7:AS7"/>
    <mergeCell ref="AT7:AU7"/>
    <mergeCell ref="AV7:AW7"/>
    <mergeCell ref="BL7:BM7"/>
    <mergeCell ref="AZ7:BA7"/>
    <mergeCell ref="BB7:BC7"/>
    <mergeCell ref="BD7:BE7"/>
    <mergeCell ref="BF7:BG7"/>
    <mergeCell ref="BH7:BI7"/>
    <mergeCell ref="BJ7:BK7"/>
    <mergeCell ref="P7:Q7"/>
    <mergeCell ref="R7:S7"/>
    <mergeCell ref="T7:U7"/>
    <mergeCell ref="V7:W7"/>
    <mergeCell ref="X7:Y7"/>
    <mergeCell ref="Z7:AA7"/>
    <mergeCell ref="BF6:BG6"/>
    <mergeCell ref="BH6:BI6"/>
    <mergeCell ref="BJ6:BK6"/>
    <mergeCell ref="BL6:BM6"/>
    <mergeCell ref="BB6:BC6"/>
    <mergeCell ref="BD6:BE6"/>
    <mergeCell ref="AF6:AG6"/>
    <mergeCell ref="AX7:AY7"/>
    <mergeCell ref="AB7:AC7"/>
    <mergeCell ref="AD7:AE7"/>
    <mergeCell ref="AF7:AG7"/>
    <mergeCell ref="AH7:AI7"/>
    <mergeCell ref="AJ7:AK7"/>
    <mergeCell ref="AL7:AM7"/>
    <mergeCell ref="AN7:AO7"/>
    <mergeCell ref="D7:E7"/>
    <mergeCell ref="F7:G7"/>
    <mergeCell ref="H7:I7"/>
    <mergeCell ref="J7:K7"/>
    <mergeCell ref="L7:M7"/>
    <mergeCell ref="N7:O7"/>
    <mergeCell ref="AT6:AU6"/>
    <mergeCell ref="AV6:AW6"/>
    <mergeCell ref="AX6:AY6"/>
    <mergeCell ref="AZ6:BA6"/>
    <mergeCell ref="AH6:AI6"/>
    <mergeCell ref="AJ6:AK6"/>
    <mergeCell ref="AL6:AM6"/>
    <mergeCell ref="AN6:AO6"/>
    <mergeCell ref="AP6:AQ6"/>
    <mergeCell ref="AR6:AS6"/>
    <mergeCell ref="V6:W6"/>
    <mergeCell ref="X6:Y6"/>
    <mergeCell ref="Z6:AA6"/>
    <mergeCell ref="AB6:AC6"/>
    <mergeCell ref="AD6:AE6"/>
    <mergeCell ref="BL5:BM5"/>
    <mergeCell ref="D6:E6"/>
    <mergeCell ref="F6:G6"/>
    <mergeCell ref="H6:I6"/>
    <mergeCell ref="J6:K6"/>
    <mergeCell ref="L6:M6"/>
    <mergeCell ref="N6:O6"/>
    <mergeCell ref="P6:Q6"/>
    <mergeCell ref="R6:S6"/>
    <mergeCell ref="T6:U6"/>
    <mergeCell ref="AZ5:BA5"/>
    <mergeCell ref="BB5:BC5"/>
    <mergeCell ref="BD5:BE5"/>
    <mergeCell ref="BF5:BG5"/>
    <mergeCell ref="BH5:BI5"/>
    <mergeCell ref="BJ5:BK5"/>
    <mergeCell ref="AX5:AY5"/>
    <mergeCell ref="AB5:AC5"/>
    <mergeCell ref="AD5:AE5"/>
    <mergeCell ref="AF5:AG5"/>
    <mergeCell ref="AH5:AI5"/>
    <mergeCell ref="AJ5:AK5"/>
    <mergeCell ref="AL5:AM5"/>
    <mergeCell ref="AN5:AO5"/>
    <mergeCell ref="AP5:AQ5"/>
    <mergeCell ref="AR5:AS5"/>
    <mergeCell ref="AT5:AU5"/>
    <mergeCell ref="AV5:AW5"/>
    <mergeCell ref="Z5:AA5"/>
    <mergeCell ref="D5:E5"/>
    <mergeCell ref="F5:G5"/>
    <mergeCell ref="H5:I5"/>
    <mergeCell ref="J5:K5"/>
    <mergeCell ref="L5:M5"/>
    <mergeCell ref="N5:O5"/>
    <mergeCell ref="P5:Q5"/>
    <mergeCell ref="R5:S5"/>
    <mergeCell ref="T5:U5"/>
    <mergeCell ref="V5:W5"/>
    <mergeCell ref="X5:Y5"/>
  </mergeCells>
  <conditionalFormatting sqref="A9:XFD9">
    <cfRule type="cellIs" dxfId="23" priority="3" operator="equal">
      <formula>"J"</formula>
    </cfRule>
    <cfRule type="cellIs" dxfId="22" priority="4" operator="equal">
      <formula>"A"</formula>
    </cfRule>
  </conditionalFormatting>
  <conditionalFormatting sqref="B10:BP60">
    <cfRule type="expression" dxfId="21" priority="2">
      <formula>MOD(ROW(),2)</formula>
    </cfRule>
  </conditionalFormatting>
  <conditionalFormatting sqref="BP10:BP57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{7223C496-9CE9-4F3A-89BB-97A79FBD7698}</x14:id>
        </ext>
      </extLst>
    </cfRule>
  </conditionalFormatting>
  <dataValidations count="1">
    <dataValidation type="whole" allowBlank="1" showInputMessage="1" showErrorMessage="1" error="Attention: Entier compris entre 0 et 12 !" sqref="D10:BM49" xr:uid="{F07D4F53-9302-4359-AD14-4044618549AA}">
      <formula1>0</formula1>
      <formula2>12</formula2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130" orientation="portrait" r:id="rId1"/>
  <headerFooter>
    <oddFooter>&amp;L&amp;D - &amp;T&amp;RMois de &amp;A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223C496-9CE9-4F3A-89BB-97A79FBD76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BP10:BP57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36E20-7C97-4382-AB35-D75B3991AB28}">
  <sheetPr codeName="Feuil8"/>
  <dimension ref="B1:BQ57"/>
  <sheetViews>
    <sheetView showGridLines="0" showRowColHeaders="0" zoomScaleNormal="100" workbookViewId="0">
      <pane xSplit="3" ySplit="9" topLeftCell="AI10" activePane="bottomRight" state="frozen"/>
      <selection pane="bottomRight" activeCell="BN6" sqref="BN6:BP6"/>
      <selection pane="bottomLeft" activeCell="CC17" sqref="CC17"/>
      <selection pane="topRight" activeCell="CC17" sqref="CC17"/>
    </sheetView>
  </sheetViews>
  <sheetFormatPr defaultColWidth="11.42578125" defaultRowHeight="15"/>
  <cols>
    <col min="1" max="1" width="2.42578125" customWidth="1"/>
    <col min="2" max="2" width="32.140625" style="6" customWidth="1"/>
    <col min="3" max="3" width="22.42578125" style="6" customWidth="1"/>
    <col min="4" max="65" width="3.7109375" customWidth="1"/>
    <col min="66" max="66" width="4.42578125" bestFit="1" customWidth="1"/>
    <col min="67" max="67" width="4.28515625" customWidth="1"/>
    <col min="68" max="68" width="7.42578125" bestFit="1" customWidth="1"/>
    <col min="69" max="69" width="7.7109375" customWidth="1"/>
    <col min="70" max="105" width="3.7109375" customWidth="1"/>
  </cols>
  <sheetData>
    <row r="1" spans="2:69">
      <c r="H1" s="4" t="s">
        <v>0</v>
      </c>
      <c r="I1" t="s">
        <v>1</v>
      </c>
      <c r="N1" t="s">
        <v>2</v>
      </c>
      <c r="O1" t="s">
        <v>3</v>
      </c>
    </row>
    <row r="2" spans="2:69">
      <c r="H2" s="5" t="s">
        <v>4</v>
      </c>
      <c r="I2" t="s">
        <v>5</v>
      </c>
      <c r="N2" t="s">
        <v>6</v>
      </c>
      <c r="O2" t="s">
        <v>7</v>
      </c>
    </row>
    <row r="3" spans="2:69">
      <c r="N3" t="s">
        <v>8</v>
      </c>
      <c r="O3" t="s">
        <v>9</v>
      </c>
    </row>
    <row r="4" spans="2:69">
      <c r="B4" s="12"/>
      <c r="C4" s="12"/>
    </row>
    <row r="5" spans="2:69" s="2" customFormat="1">
      <c r="B5" s="13"/>
      <c r="C5" s="13"/>
      <c r="D5" s="45">
        <v>1</v>
      </c>
      <c r="E5" s="45"/>
      <c r="F5" s="45">
        <v>2</v>
      </c>
      <c r="G5" s="45"/>
      <c r="H5" s="45">
        <v>3</v>
      </c>
      <c r="I5" s="45"/>
      <c r="J5" s="45">
        <v>4</v>
      </c>
      <c r="K5" s="45"/>
      <c r="L5" s="45">
        <v>5</v>
      </c>
      <c r="M5" s="45"/>
      <c r="N5" s="45">
        <v>6</v>
      </c>
      <c r="O5" s="45"/>
      <c r="P5" s="45">
        <v>7</v>
      </c>
      <c r="Q5" s="45"/>
      <c r="R5" s="45">
        <v>8</v>
      </c>
      <c r="S5" s="45"/>
      <c r="T5" s="45">
        <v>9</v>
      </c>
      <c r="U5" s="45"/>
      <c r="V5" s="45">
        <v>10</v>
      </c>
      <c r="W5" s="45"/>
      <c r="X5" s="45">
        <v>11</v>
      </c>
      <c r="Y5" s="45"/>
      <c r="Z5" s="45">
        <v>12</v>
      </c>
      <c r="AA5" s="45"/>
      <c r="AB5" s="45">
        <v>13</v>
      </c>
      <c r="AC5" s="45"/>
      <c r="AD5" s="45">
        <v>14</v>
      </c>
      <c r="AE5" s="45"/>
      <c r="AF5" s="45">
        <v>15</v>
      </c>
      <c r="AG5" s="45"/>
      <c r="AH5" s="45">
        <v>16</v>
      </c>
      <c r="AI5" s="45"/>
      <c r="AJ5" s="45">
        <v>17</v>
      </c>
      <c r="AK5" s="45"/>
      <c r="AL5" s="45">
        <v>18</v>
      </c>
      <c r="AM5" s="45"/>
      <c r="AN5" s="45">
        <v>19</v>
      </c>
      <c r="AO5" s="45"/>
      <c r="AP5" s="45">
        <v>20</v>
      </c>
      <c r="AQ5" s="45"/>
      <c r="AR5" s="45">
        <v>21</v>
      </c>
      <c r="AS5" s="45"/>
      <c r="AT5" s="45">
        <v>22</v>
      </c>
      <c r="AU5" s="45"/>
      <c r="AV5" s="45">
        <v>23</v>
      </c>
      <c r="AW5" s="45"/>
      <c r="AX5" s="45">
        <v>24</v>
      </c>
      <c r="AY5" s="45"/>
      <c r="AZ5" s="45">
        <v>25</v>
      </c>
      <c r="BA5" s="45"/>
      <c r="BB5" s="45">
        <v>26</v>
      </c>
      <c r="BC5" s="45"/>
      <c r="BD5" s="45">
        <v>27</v>
      </c>
      <c r="BE5" s="45"/>
      <c r="BF5" s="45">
        <v>28</v>
      </c>
      <c r="BG5" s="45"/>
      <c r="BH5" s="45">
        <v>29</v>
      </c>
      <c r="BI5" s="45"/>
      <c r="BJ5" s="45">
        <v>30</v>
      </c>
      <c r="BK5" s="45"/>
      <c r="BL5" s="45">
        <v>31</v>
      </c>
      <c r="BM5" s="45"/>
      <c r="BQ5" s="6" t="s">
        <v>10</v>
      </c>
    </row>
    <row r="6" spans="2:69">
      <c r="D6" s="49" t="str">
        <f t="shared" ref="D6:BL6" si="0">TEXT(WEEKDAY(DATE($BQ$6,6,D$5),1),"jjj")</f>
        <v>lun.</v>
      </c>
      <c r="E6" s="49"/>
      <c r="F6" s="49" t="str">
        <f t="shared" si="0"/>
        <v>mar.</v>
      </c>
      <c r="G6" s="49"/>
      <c r="H6" s="49" t="str">
        <f t="shared" si="0"/>
        <v>mer.</v>
      </c>
      <c r="I6" s="49"/>
      <c r="J6" s="49" t="str">
        <f t="shared" si="0"/>
        <v>jeu.</v>
      </c>
      <c r="K6" s="49"/>
      <c r="L6" s="49" t="str">
        <f t="shared" si="0"/>
        <v>ven.</v>
      </c>
      <c r="M6" s="49"/>
      <c r="N6" s="49" t="str">
        <f t="shared" si="0"/>
        <v>sam.</v>
      </c>
      <c r="O6" s="49"/>
      <c r="P6" s="49" t="str">
        <f t="shared" si="0"/>
        <v>dim.</v>
      </c>
      <c r="Q6" s="49"/>
      <c r="R6" s="49" t="str">
        <f t="shared" si="0"/>
        <v>lun.</v>
      </c>
      <c r="S6" s="49"/>
      <c r="T6" s="49" t="str">
        <f t="shared" si="0"/>
        <v>mar.</v>
      </c>
      <c r="U6" s="49"/>
      <c r="V6" s="49" t="str">
        <f t="shared" si="0"/>
        <v>mer.</v>
      </c>
      <c r="W6" s="49"/>
      <c r="X6" s="49" t="str">
        <f t="shared" si="0"/>
        <v>jeu.</v>
      </c>
      <c r="Y6" s="49"/>
      <c r="Z6" s="49" t="str">
        <f t="shared" si="0"/>
        <v>ven.</v>
      </c>
      <c r="AA6" s="49"/>
      <c r="AB6" s="49" t="str">
        <f t="shared" si="0"/>
        <v>sam.</v>
      </c>
      <c r="AC6" s="49"/>
      <c r="AD6" s="49" t="str">
        <f t="shared" si="0"/>
        <v>dim.</v>
      </c>
      <c r="AE6" s="49"/>
      <c r="AF6" s="49" t="str">
        <f t="shared" si="0"/>
        <v>lun.</v>
      </c>
      <c r="AG6" s="49"/>
      <c r="AH6" s="49" t="str">
        <f t="shared" si="0"/>
        <v>mar.</v>
      </c>
      <c r="AI6" s="49"/>
      <c r="AJ6" s="49" t="str">
        <f t="shared" si="0"/>
        <v>mer.</v>
      </c>
      <c r="AK6" s="49"/>
      <c r="AL6" s="49" t="str">
        <f t="shared" si="0"/>
        <v>jeu.</v>
      </c>
      <c r="AM6" s="49"/>
      <c r="AN6" s="49" t="str">
        <f t="shared" si="0"/>
        <v>ven.</v>
      </c>
      <c r="AO6" s="49"/>
      <c r="AP6" s="49" t="str">
        <f t="shared" si="0"/>
        <v>sam.</v>
      </c>
      <c r="AQ6" s="49"/>
      <c r="AR6" s="49" t="str">
        <f t="shared" si="0"/>
        <v>dim.</v>
      </c>
      <c r="AS6" s="49"/>
      <c r="AT6" s="49" t="str">
        <f t="shared" si="0"/>
        <v>lun.</v>
      </c>
      <c r="AU6" s="49"/>
      <c r="AV6" s="49" t="str">
        <f t="shared" si="0"/>
        <v>mar.</v>
      </c>
      <c r="AW6" s="49"/>
      <c r="AX6" s="49" t="str">
        <f t="shared" si="0"/>
        <v>mer.</v>
      </c>
      <c r="AY6" s="49"/>
      <c r="AZ6" s="49" t="str">
        <f t="shared" si="0"/>
        <v>jeu.</v>
      </c>
      <c r="BA6" s="49"/>
      <c r="BB6" s="49" t="str">
        <f t="shared" si="0"/>
        <v>ven.</v>
      </c>
      <c r="BC6" s="49"/>
      <c r="BD6" s="49" t="str">
        <f t="shared" si="0"/>
        <v>sam.</v>
      </c>
      <c r="BE6" s="49"/>
      <c r="BF6" s="49" t="str">
        <f t="shared" si="0"/>
        <v>dim.</v>
      </c>
      <c r="BG6" s="49"/>
      <c r="BH6" s="49" t="str">
        <f t="shared" si="0"/>
        <v>lun.</v>
      </c>
      <c r="BI6" s="49"/>
      <c r="BJ6" s="49" t="str">
        <f t="shared" si="0"/>
        <v>mar.</v>
      </c>
      <c r="BK6" s="49"/>
      <c r="BL6" s="49"/>
      <c r="BM6" s="49"/>
      <c r="BN6" s="14" t="str">
        <f>Janvier!BN6</f>
        <v>LIAGE 3</v>
      </c>
      <c r="BO6" s="14"/>
      <c r="BP6" s="14"/>
      <c r="BQ6" s="7">
        <f>Janvier!BQ6</f>
        <v>2020</v>
      </c>
    </row>
    <row r="7" spans="2:69">
      <c r="B7" s="30" t="s">
        <v>108</v>
      </c>
      <c r="C7" s="1"/>
      <c r="D7" s="47">
        <v>1</v>
      </c>
      <c r="E7" s="48"/>
      <c r="F7" s="47">
        <v>2</v>
      </c>
      <c r="G7" s="48"/>
      <c r="H7" s="47">
        <v>3</v>
      </c>
      <c r="I7" s="48"/>
      <c r="J7" s="47">
        <v>4</v>
      </c>
      <c r="K7" s="48"/>
      <c r="L7" s="47">
        <v>5</v>
      </c>
      <c r="M7" s="48"/>
      <c r="N7" s="47">
        <v>6</v>
      </c>
      <c r="O7" s="48"/>
      <c r="P7" s="47">
        <v>7</v>
      </c>
      <c r="Q7" s="48"/>
      <c r="R7" s="47">
        <v>8</v>
      </c>
      <c r="S7" s="48"/>
      <c r="T7" s="47">
        <v>9</v>
      </c>
      <c r="U7" s="48"/>
      <c r="V7" s="47">
        <v>10</v>
      </c>
      <c r="W7" s="48"/>
      <c r="X7" s="47">
        <v>11</v>
      </c>
      <c r="Y7" s="48"/>
      <c r="Z7" s="47">
        <v>12</v>
      </c>
      <c r="AA7" s="48"/>
      <c r="AB7" s="47">
        <v>13</v>
      </c>
      <c r="AC7" s="48"/>
      <c r="AD7" s="47">
        <v>14</v>
      </c>
      <c r="AE7" s="48"/>
      <c r="AF7" s="47">
        <v>15</v>
      </c>
      <c r="AG7" s="48"/>
      <c r="AH7" s="47">
        <v>16</v>
      </c>
      <c r="AI7" s="48"/>
      <c r="AJ7" s="47">
        <v>17</v>
      </c>
      <c r="AK7" s="48"/>
      <c r="AL7" s="47">
        <v>18</v>
      </c>
      <c r="AM7" s="48"/>
      <c r="AN7" s="47">
        <v>19</v>
      </c>
      <c r="AO7" s="48"/>
      <c r="AP7" s="47">
        <v>20</v>
      </c>
      <c r="AQ7" s="48"/>
      <c r="AR7" s="47">
        <v>21</v>
      </c>
      <c r="AS7" s="48"/>
      <c r="AT7" s="47">
        <v>22</v>
      </c>
      <c r="AU7" s="48"/>
      <c r="AV7" s="47">
        <v>23</v>
      </c>
      <c r="AW7" s="48"/>
      <c r="AX7" s="47">
        <v>24</v>
      </c>
      <c r="AY7" s="48"/>
      <c r="AZ7" s="47">
        <v>25</v>
      </c>
      <c r="BA7" s="48"/>
      <c r="BB7" s="47">
        <v>26</v>
      </c>
      <c r="BC7" s="48"/>
      <c r="BD7" s="47">
        <v>27</v>
      </c>
      <c r="BE7" s="48"/>
      <c r="BF7" s="47">
        <v>28</v>
      </c>
      <c r="BG7" s="48"/>
      <c r="BH7" s="47">
        <v>29</v>
      </c>
      <c r="BI7" s="48"/>
      <c r="BJ7" s="47">
        <v>30</v>
      </c>
      <c r="BK7" s="48"/>
      <c r="BL7" s="47"/>
      <c r="BM7" s="48"/>
    </row>
    <row r="8" spans="2:69" s="11" customFormat="1">
      <c r="B8" s="8"/>
      <c r="C8" s="8" t="s">
        <v>109</v>
      </c>
      <c r="D8" s="16"/>
      <c r="E8" s="17"/>
      <c r="F8" s="18"/>
      <c r="G8" s="17"/>
      <c r="H8" s="19"/>
      <c r="I8" s="20"/>
      <c r="J8" s="19"/>
      <c r="K8" s="20"/>
      <c r="L8" s="19"/>
      <c r="M8" s="20"/>
      <c r="N8" s="19"/>
      <c r="O8" s="20"/>
      <c r="P8" s="19"/>
      <c r="Q8" s="20"/>
      <c r="R8" s="19"/>
      <c r="S8" s="20"/>
      <c r="T8" s="19"/>
      <c r="U8" s="20"/>
      <c r="V8" s="19"/>
      <c r="W8" s="20"/>
      <c r="X8" s="19"/>
      <c r="Y8" s="20"/>
      <c r="Z8" s="19"/>
      <c r="AA8" s="20"/>
      <c r="AB8" s="19"/>
      <c r="AC8" s="20"/>
      <c r="AD8" s="19"/>
      <c r="AE8" s="20"/>
      <c r="AF8" s="19"/>
      <c r="AG8" s="20"/>
      <c r="AH8" s="19"/>
      <c r="AI8" s="20"/>
      <c r="AJ8" s="19"/>
      <c r="AK8" s="20"/>
      <c r="AL8" s="19"/>
      <c r="AM8" s="20"/>
      <c r="AN8" s="19"/>
      <c r="AO8" s="20"/>
      <c r="AP8" s="19"/>
      <c r="AQ8" s="20"/>
      <c r="AR8" s="19"/>
      <c r="AS8" s="20"/>
      <c r="AT8" s="19"/>
      <c r="AU8" s="20"/>
      <c r="AV8" s="19"/>
      <c r="AW8" s="20"/>
      <c r="AX8" s="19"/>
      <c r="AY8" s="20"/>
      <c r="AZ8" s="19"/>
      <c r="BA8" s="20"/>
      <c r="BB8" s="19"/>
      <c r="BC8" s="20"/>
      <c r="BD8" s="19"/>
      <c r="BE8" s="20"/>
      <c r="BF8" s="19"/>
      <c r="BG8" s="20"/>
      <c r="BH8" s="19"/>
      <c r="BI8" s="20"/>
      <c r="BJ8" s="19"/>
      <c r="BK8" s="20"/>
      <c r="BL8" s="19"/>
      <c r="BM8" s="21"/>
      <c r="BN8">
        <f>SUM(BN10:BN49)</f>
        <v>71</v>
      </c>
      <c r="BO8">
        <f>SUM(BO10:BO49)</f>
        <v>27</v>
      </c>
      <c r="BP8">
        <f>SUM(BP10:BP49)</f>
        <v>44</v>
      </c>
    </row>
    <row r="9" spans="2:69" s="3" customFormat="1" ht="12" customHeight="1">
      <c r="B9" s="23" t="s">
        <v>14</v>
      </c>
      <c r="C9" s="23" t="s">
        <v>15</v>
      </c>
      <c r="D9" s="24" t="str">
        <f>$H$1</f>
        <v>A</v>
      </c>
      <c r="E9" s="25" t="str">
        <f>$H$2</f>
        <v>J</v>
      </c>
      <c r="F9" s="26" t="str">
        <f>$H$1</f>
        <v>A</v>
      </c>
      <c r="G9" s="27" t="str">
        <f>$H$2</f>
        <v>J</v>
      </c>
      <c r="H9" s="28" t="str">
        <f>$H$1</f>
        <v>A</v>
      </c>
      <c r="I9" s="25" t="str">
        <f>$H$2</f>
        <v>J</v>
      </c>
      <c r="J9" s="26" t="str">
        <f>$H$1</f>
        <v>A</v>
      </c>
      <c r="K9" s="27" t="str">
        <f>$H$2</f>
        <v>J</v>
      </c>
      <c r="L9" s="28" t="str">
        <f>$H$1</f>
        <v>A</v>
      </c>
      <c r="M9" s="25" t="str">
        <f>$H$2</f>
        <v>J</v>
      </c>
      <c r="N9" s="26" t="str">
        <f>$H$1</f>
        <v>A</v>
      </c>
      <c r="O9" s="27" t="str">
        <f>$H$2</f>
        <v>J</v>
      </c>
      <c r="P9" s="28" t="str">
        <f>$H$1</f>
        <v>A</v>
      </c>
      <c r="Q9" s="25" t="str">
        <f>$H$2</f>
        <v>J</v>
      </c>
      <c r="R9" s="26" t="str">
        <f>$H$1</f>
        <v>A</v>
      </c>
      <c r="S9" s="27" t="str">
        <f>$H$2</f>
        <v>J</v>
      </c>
      <c r="T9" s="28" t="str">
        <f>$H$1</f>
        <v>A</v>
      </c>
      <c r="U9" s="25" t="str">
        <f>$H$2</f>
        <v>J</v>
      </c>
      <c r="V9" s="26" t="str">
        <f>$H$1</f>
        <v>A</v>
      </c>
      <c r="W9" s="27" t="str">
        <f>$H$2</f>
        <v>J</v>
      </c>
      <c r="X9" s="28" t="str">
        <f>$H$1</f>
        <v>A</v>
      </c>
      <c r="Y9" s="25" t="str">
        <f>$H$2</f>
        <v>J</v>
      </c>
      <c r="Z9" s="26" t="str">
        <f>$H$1</f>
        <v>A</v>
      </c>
      <c r="AA9" s="27" t="str">
        <f>$H$2</f>
        <v>J</v>
      </c>
      <c r="AB9" s="28" t="str">
        <f>$H$1</f>
        <v>A</v>
      </c>
      <c r="AC9" s="25" t="str">
        <f>$H$2</f>
        <v>J</v>
      </c>
      <c r="AD9" s="26" t="str">
        <f>$H$1</f>
        <v>A</v>
      </c>
      <c r="AE9" s="27" t="str">
        <f>$H$2</f>
        <v>J</v>
      </c>
      <c r="AF9" s="28" t="str">
        <f>$H$1</f>
        <v>A</v>
      </c>
      <c r="AG9" s="25" t="str">
        <f>$H$2</f>
        <v>J</v>
      </c>
      <c r="AH9" s="26" t="str">
        <f>$H$1</f>
        <v>A</v>
      </c>
      <c r="AI9" s="27" t="str">
        <f>$H$2</f>
        <v>J</v>
      </c>
      <c r="AJ9" s="28" t="str">
        <f>$H$1</f>
        <v>A</v>
      </c>
      <c r="AK9" s="25" t="str">
        <f>$H$2</f>
        <v>J</v>
      </c>
      <c r="AL9" s="26" t="str">
        <f>$H$1</f>
        <v>A</v>
      </c>
      <c r="AM9" s="27" t="str">
        <f>$H$2</f>
        <v>J</v>
      </c>
      <c r="AN9" s="28" t="str">
        <f>$H$1</f>
        <v>A</v>
      </c>
      <c r="AO9" s="25" t="str">
        <f>$H$2</f>
        <v>J</v>
      </c>
      <c r="AP9" s="26" t="str">
        <f>$H$1</f>
        <v>A</v>
      </c>
      <c r="AQ9" s="27" t="str">
        <f>$H$2</f>
        <v>J</v>
      </c>
      <c r="AR9" s="28" t="str">
        <f>$H$1</f>
        <v>A</v>
      </c>
      <c r="AS9" s="25" t="str">
        <f>$H$2</f>
        <v>J</v>
      </c>
      <c r="AT9" s="26" t="str">
        <f>$H$1</f>
        <v>A</v>
      </c>
      <c r="AU9" s="27" t="str">
        <f>$H$2</f>
        <v>J</v>
      </c>
      <c r="AV9" s="28" t="str">
        <f>$H$1</f>
        <v>A</v>
      </c>
      <c r="AW9" s="25" t="str">
        <f>$H$2</f>
        <v>J</v>
      </c>
      <c r="AX9" s="26" t="str">
        <f>$H$1</f>
        <v>A</v>
      </c>
      <c r="AY9" s="27" t="str">
        <f>$H$2</f>
        <v>J</v>
      </c>
      <c r="AZ9" s="28" t="str">
        <f>$H$1</f>
        <v>A</v>
      </c>
      <c r="BA9" s="25" t="str">
        <f>$H$2</f>
        <v>J</v>
      </c>
      <c r="BB9" s="26" t="str">
        <f>$H$1</f>
        <v>A</v>
      </c>
      <c r="BC9" s="27" t="str">
        <f>$H$2</f>
        <v>J</v>
      </c>
      <c r="BD9" s="28" t="str">
        <f>$H$1</f>
        <v>A</v>
      </c>
      <c r="BE9" s="25" t="str">
        <f>$H$2</f>
        <v>J</v>
      </c>
      <c r="BF9" s="26" t="str">
        <f>$H$1</f>
        <v>A</v>
      </c>
      <c r="BG9" s="27" t="str">
        <f>$H$2</f>
        <v>J</v>
      </c>
      <c r="BH9" s="28" t="str">
        <f>$H$1</f>
        <v>A</v>
      </c>
      <c r="BI9" s="25" t="str">
        <f>$H$2</f>
        <v>J</v>
      </c>
      <c r="BJ9" s="26" t="str">
        <f>$H$1</f>
        <v>A</v>
      </c>
      <c r="BK9" s="27" t="str">
        <f>$H$2</f>
        <v>J</v>
      </c>
      <c r="BL9" s="28" t="str">
        <f>$H$1</f>
        <v>A</v>
      </c>
      <c r="BM9" s="24" t="str">
        <f>$H$2</f>
        <v>J</v>
      </c>
      <c r="BN9" s="29" t="s">
        <v>2</v>
      </c>
      <c r="BO9" s="29" t="s">
        <v>6</v>
      </c>
      <c r="BP9" s="29" t="s">
        <v>8</v>
      </c>
    </row>
    <row r="10" spans="2:69">
      <c r="B10" s="6" t="s">
        <v>16</v>
      </c>
      <c r="C10" s="6" t="s">
        <v>17</v>
      </c>
      <c r="D10" s="10"/>
      <c r="E10" s="15"/>
      <c r="F10" s="9"/>
      <c r="G10" s="9"/>
      <c r="H10" s="15"/>
      <c r="I10" s="15"/>
      <c r="J10" s="9"/>
      <c r="K10" s="9"/>
      <c r="L10" s="15"/>
      <c r="M10" s="15"/>
      <c r="N10" s="9"/>
      <c r="O10" s="9"/>
      <c r="P10" s="15"/>
      <c r="Q10" s="15"/>
      <c r="R10" s="9"/>
      <c r="S10" s="9"/>
      <c r="T10" s="15"/>
      <c r="U10" s="15"/>
      <c r="V10" s="9"/>
      <c r="W10" s="9"/>
      <c r="X10" s="15"/>
      <c r="Y10" s="15"/>
      <c r="Z10" s="9"/>
      <c r="AA10" s="9"/>
      <c r="AB10" s="15"/>
      <c r="AC10" s="15"/>
      <c r="AD10" s="9"/>
      <c r="AE10" s="9"/>
      <c r="AF10" s="15"/>
      <c r="AG10" s="15"/>
      <c r="AH10" s="9"/>
      <c r="AI10" s="9"/>
      <c r="AJ10" s="15"/>
      <c r="AK10" s="15"/>
      <c r="AL10" s="9"/>
      <c r="AM10" s="9"/>
      <c r="AN10" s="15">
        <v>7</v>
      </c>
      <c r="AO10" s="15"/>
      <c r="AP10" s="9">
        <v>5</v>
      </c>
      <c r="AQ10" s="9">
        <v>1</v>
      </c>
      <c r="AR10" s="15"/>
      <c r="AS10" s="15"/>
      <c r="AT10" s="9"/>
      <c r="AU10" s="9"/>
      <c r="AV10" s="15"/>
      <c r="AW10" s="15"/>
      <c r="AX10" s="9">
        <v>8</v>
      </c>
      <c r="AY10" s="9"/>
      <c r="AZ10" s="15"/>
      <c r="BA10" s="15"/>
      <c r="BB10" s="15"/>
      <c r="BC10" s="9"/>
      <c r="BD10" s="15"/>
      <c r="BE10" s="15"/>
      <c r="BF10" s="15"/>
      <c r="BG10" s="9"/>
      <c r="BH10" s="15"/>
      <c r="BI10" s="15"/>
      <c r="BJ10" s="9"/>
      <c r="BK10" s="9"/>
      <c r="BL10" s="15"/>
      <c r="BM10" s="10"/>
      <c r="BN10">
        <f>SUMIFS($D10:$BM10,$D$9:$BM$9,$H$1)</f>
        <v>20</v>
      </c>
      <c r="BO10">
        <f>SUMIFS($D10:$BM10,$D$9:$BM$9,$H$2)</f>
        <v>1</v>
      </c>
      <c r="BP10">
        <f>BN10-BO10</f>
        <v>19</v>
      </c>
    </row>
    <row r="11" spans="2:69">
      <c r="B11" s="6" t="s">
        <v>18</v>
      </c>
      <c r="C11" s="6" t="s">
        <v>19</v>
      </c>
      <c r="D11" s="10">
        <v>8</v>
      </c>
      <c r="E11" s="15">
        <v>8</v>
      </c>
      <c r="F11" s="9">
        <v>7</v>
      </c>
      <c r="G11" s="9">
        <v>1</v>
      </c>
      <c r="H11" s="15">
        <v>10</v>
      </c>
      <c r="I11" s="15"/>
      <c r="J11" s="15"/>
      <c r="K11" s="9"/>
      <c r="L11" s="15"/>
      <c r="M11" s="15"/>
      <c r="N11" s="9"/>
      <c r="O11" s="9"/>
      <c r="P11" s="15"/>
      <c r="Q11" s="15"/>
      <c r="R11" s="15"/>
      <c r="S11" s="9"/>
      <c r="T11" s="15"/>
      <c r="U11" s="15"/>
      <c r="V11" s="9"/>
      <c r="W11" s="9"/>
      <c r="X11" s="15"/>
      <c r="Y11" s="15"/>
      <c r="Z11" s="9"/>
      <c r="AA11" s="9"/>
      <c r="AB11" s="15"/>
      <c r="AC11" s="15"/>
      <c r="AD11" s="9"/>
      <c r="AE11" s="9"/>
      <c r="AF11" s="15"/>
      <c r="AG11" s="15"/>
      <c r="AH11" s="9"/>
      <c r="AI11" s="9"/>
      <c r="AJ11" s="15"/>
      <c r="AK11" s="15"/>
      <c r="AL11" s="9"/>
      <c r="AM11" s="9"/>
      <c r="AN11" s="15"/>
      <c r="AO11" s="15"/>
      <c r="AP11" s="9"/>
      <c r="AQ11" s="9"/>
      <c r="AR11" s="15"/>
      <c r="AS11" s="15"/>
      <c r="AT11" s="9"/>
      <c r="AU11" s="9"/>
      <c r="AV11" s="15"/>
      <c r="AW11" s="15"/>
      <c r="AX11" s="9"/>
      <c r="AY11" s="9"/>
      <c r="AZ11" s="15"/>
      <c r="BA11" s="15"/>
      <c r="BB11" s="9"/>
      <c r="BC11" s="9"/>
      <c r="BD11" s="15"/>
      <c r="BE11" s="15"/>
      <c r="BF11" s="9"/>
      <c r="BG11" s="9"/>
      <c r="BH11" s="15"/>
      <c r="BI11" s="15"/>
      <c r="BJ11" s="9"/>
      <c r="BK11" s="9"/>
      <c r="BL11" s="15"/>
      <c r="BM11" s="10"/>
      <c r="BN11">
        <f>SUMIFS($D11:$BM11,$D$9:$BM$9,$H$1)</f>
        <v>25</v>
      </c>
      <c r="BO11">
        <f>SUMIFS($D11:$BM11,$D$9:$BM$9,$H$2)</f>
        <v>9</v>
      </c>
      <c r="BP11">
        <f>BN11-BO11</f>
        <v>16</v>
      </c>
    </row>
    <row r="12" spans="2:69">
      <c r="B12" s="6" t="s">
        <v>20</v>
      </c>
      <c r="C12" s="6" t="s">
        <v>21</v>
      </c>
      <c r="D12" s="10">
        <v>8</v>
      </c>
      <c r="E12" s="15">
        <v>2</v>
      </c>
      <c r="F12" s="9"/>
      <c r="G12" s="9"/>
      <c r="H12" s="15"/>
      <c r="I12" s="15">
        <v>6</v>
      </c>
      <c r="J12" s="9">
        <v>3</v>
      </c>
      <c r="K12" s="9"/>
      <c r="L12" s="15"/>
      <c r="M12" s="15"/>
      <c r="N12" s="9"/>
      <c r="O12" s="9"/>
      <c r="P12" s="15"/>
      <c r="Q12" s="15"/>
      <c r="R12" s="9"/>
      <c r="S12" s="9"/>
      <c r="T12" s="15">
        <v>7</v>
      </c>
      <c r="U12" s="15">
        <v>1</v>
      </c>
      <c r="V12" s="9"/>
      <c r="W12" s="9"/>
      <c r="X12" s="15">
        <v>8</v>
      </c>
      <c r="Y12" s="15">
        <v>8</v>
      </c>
      <c r="Z12" s="9"/>
      <c r="AA12" s="9"/>
      <c r="AB12" s="15"/>
      <c r="AC12" s="15"/>
      <c r="AD12" s="9"/>
      <c r="AE12" s="9"/>
      <c r="AF12" s="15"/>
      <c r="AG12" s="15"/>
      <c r="AH12" s="9"/>
      <c r="AI12" s="9"/>
      <c r="AJ12" s="15"/>
      <c r="AK12" s="15"/>
      <c r="AL12" s="9"/>
      <c r="AM12" s="9"/>
      <c r="AN12" s="15"/>
      <c r="AO12" s="15"/>
      <c r="AP12" s="9"/>
      <c r="AQ12" s="9"/>
      <c r="AR12" s="15"/>
      <c r="AS12" s="15"/>
      <c r="AT12" s="9"/>
      <c r="AU12" s="9"/>
      <c r="AV12" s="15"/>
      <c r="AW12" s="15"/>
      <c r="AX12" s="9"/>
      <c r="AY12" s="9"/>
      <c r="AZ12" s="15"/>
      <c r="BA12" s="15"/>
      <c r="BB12" s="9"/>
      <c r="BC12" s="9"/>
      <c r="BD12" s="15"/>
      <c r="BE12" s="15"/>
      <c r="BF12" s="9"/>
      <c r="BG12" s="9"/>
      <c r="BH12" s="15"/>
      <c r="BI12" s="15"/>
      <c r="BJ12" s="9"/>
      <c r="BK12" s="9"/>
      <c r="BL12" s="15"/>
      <c r="BM12" s="10"/>
      <c r="BN12">
        <f>SUMIFS($D12:$BM12,$D$9:$BM$9,$H$1)</f>
        <v>26</v>
      </c>
      <c r="BO12">
        <f>SUMIFS($D12:$BM12,$D$9:$BM$9,$H$2)</f>
        <v>17</v>
      </c>
      <c r="BP12">
        <f>BN12-BO12</f>
        <v>9</v>
      </c>
    </row>
    <row r="13" spans="2:69">
      <c r="B13" s="6" t="s">
        <v>22</v>
      </c>
      <c r="C13" s="6" t="s">
        <v>23</v>
      </c>
      <c r="D13" s="10"/>
      <c r="E13" s="10"/>
      <c r="H13" s="10"/>
      <c r="I13" s="10"/>
      <c r="L13" s="10"/>
      <c r="M13" s="10"/>
      <c r="P13" s="10"/>
      <c r="Q13" s="10"/>
      <c r="T13" s="10"/>
      <c r="U13" s="10"/>
      <c r="X13" s="10"/>
      <c r="Y13" s="10"/>
      <c r="AB13" s="10"/>
      <c r="AC13" s="10"/>
      <c r="AF13" s="10"/>
      <c r="AG13" s="10"/>
      <c r="AJ13" s="10"/>
      <c r="AK13" s="10"/>
      <c r="AN13" s="10"/>
      <c r="AO13" s="10"/>
      <c r="AR13" s="10"/>
      <c r="AS13" s="10"/>
      <c r="AV13" s="10"/>
      <c r="AW13" s="10"/>
      <c r="AZ13" s="10"/>
      <c r="BA13" s="10"/>
      <c r="BD13" s="10"/>
      <c r="BE13" s="10"/>
      <c r="BH13" s="10"/>
      <c r="BI13" s="10"/>
      <c r="BL13" s="10"/>
      <c r="BM13" s="10"/>
      <c r="BN13">
        <f>SUMIFS($D13:$BM13,$D$9:$BM$9,$H$1)</f>
        <v>0</v>
      </c>
      <c r="BO13">
        <f>SUMIFS($D13:$BM13,$D$9:$BM$9,$H$2)</f>
        <v>0</v>
      </c>
      <c r="BP13">
        <f>BN13-BO13</f>
        <v>0</v>
      </c>
    </row>
    <row r="14" spans="2:69">
      <c r="B14" s="6" t="s">
        <v>24</v>
      </c>
      <c r="C14" s="6" t="s">
        <v>25</v>
      </c>
      <c r="D14" s="15"/>
      <c r="E14" s="15"/>
      <c r="F14" s="9"/>
      <c r="G14" s="9"/>
      <c r="H14" s="15"/>
      <c r="I14" s="15"/>
      <c r="J14" s="9"/>
      <c r="K14" s="9"/>
      <c r="L14" s="15"/>
      <c r="M14" s="15"/>
      <c r="N14" s="9"/>
      <c r="O14" s="9"/>
      <c r="P14" s="15"/>
      <c r="Q14" s="15"/>
      <c r="R14" s="9"/>
      <c r="S14" s="9"/>
      <c r="T14" s="15"/>
      <c r="U14" s="15"/>
      <c r="V14" s="9"/>
      <c r="W14" s="9"/>
      <c r="X14" s="15"/>
      <c r="Y14" s="15"/>
      <c r="Z14" s="9"/>
      <c r="AA14" s="9"/>
      <c r="AB14" s="15"/>
      <c r="AC14" s="15"/>
      <c r="AD14" s="9"/>
      <c r="AE14" s="9"/>
      <c r="AF14" s="15"/>
      <c r="AG14" s="15"/>
      <c r="AH14" s="9"/>
      <c r="AI14" s="9"/>
      <c r="AJ14" s="15"/>
      <c r="AK14" s="15"/>
      <c r="AL14" s="9"/>
      <c r="AM14" s="9"/>
      <c r="AN14" s="15"/>
      <c r="AO14" s="15"/>
      <c r="AP14" s="9"/>
      <c r="AQ14" s="9"/>
      <c r="AR14" s="15"/>
      <c r="AS14" s="15"/>
      <c r="AT14" s="9"/>
      <c r="AU14" s="9"/>
      <c r="AV14" s="15"/>
      <c r="AW14" s="15"/>
      <c r="AX14" s="9"/>
      <c r="AY14" s="9"/>
      <c r="AZ14" s="15"/>
      <c r="BA14" s="15"/>
      <c r="BB14" s="9"/>
      <c r="BC14" s="9"/>
      <c r="BD14" s="15"/>
      <c r="BE14" s="15"/>
      <c r="BF14" s="9"/>
      <c r="BG14" s="9"/>
      <c r="BH14" s="15"/>
      <c r="BI14" s="15"/>
      <c r="BJ14" s="9"/>
      <c r="BK14" s="9"/>
      <c r="BL14" s="15"/>
      <c r="BM14" s="15"/>
      <c r="BN14">
        <f>SUMIFS($D14:$BM14,$D$9:$BM$9,$H$1)</f>
        <v>0</v>
      </c>
      <c r="BO14">
        <f>SUMIFS($D14:$BM14,$D$9:$BM$9,$H$2)</f>
        <v>0</v>
      </c>
      <c r="BP14">
        <f>BN14-BO14</f>
        <v>0</v>
      </c>
    </row>
    <row r="15" spans="2:69">
      <c r="B15" s="6" t="s">
        <v>26</v>
      </c>
      <c r="C15" s="6" t="s">
        <v>27</v>
      </c>
      <c r="D15" s="10"/>
      <c r="E15" s="15"/>
      <c r="F15" s="9"/>
      <c r="G15" s="9"/>
      <c r="H15" s="15"/>
      <c r="I15" s="15"/>
      <c r="J15" s="9"/>
      <c r="K15" s="9"/>
      <c r="L15" s="15"/>
      <c r="M15" s="15"/>
      <c r="N15" s="9"/>
      <c r="O15" s="9"/>
      <c r="P15" s="15"/>
      <c r="Q15" s="15"/>
      <c r="R15" s="9"/>
      <c r="S15" s="9"/>
      <c r="T15" s="15"/>
      <c r="U15" s="15"/>
      <c r="V15" s="9"/>
      <c r="W15" s="9"/>
      <c r="X15" s="15"/>
      <c r="Y15" s="15"/>
      <c r="Z15" s="9"/>
      <c r="AA15" s="9"/>
      <c r="AB15" s="15"/>
      <c r="AC15" s="15"/>
      <c r="AD15" s="9"/>
      <c r="AE15" s="9"/>
      <c r="AF15" s="15"/>
      <c r="AG15" s="15"/>
      <c r="AH15" s="9"/>
      <c r="AI15" s="9"/>
      <c r="AJ15" s="15"/>
      <c r="AK15" s="15"/>
      <c r="AL15" s="9"/>
      <c r="AM15" s="9"/>
      <c r="AN15" s="15"/>
      <c r="AO15" s="15"/>
      <c r="AP15" s="9"/>
      <c r="AQ15" s="9"/>
      <c r="AR15" s="15"/>
      <c r="AS15" s="15"/>
      <c r="AT15" s="9"/>
      <c r="AU15" s="9"/>
      <c r="AV15" s="15"/>
      <c r="AW15" s="15"/>
      <c r="AX15" s="9"/>
      <c r="AY15" s="9"/>
      <c r="AZ15" s="15"/>
      <c r="BA15" s="15"/>
      <c r="BB15" s="9"/>
      <c r="BC15" s="9"/>
      <c r="BD15" s="15"/>
      <c r="BE15" s="15"/>
      <c r="BF15" s="9"/>
      <c r="BG15" s="9"/>
      <c r="BH15" s="15"/>
      <c r="BI15" s="15"/>
      <c r="BJ15" s="9"/>
      <c r="BK15" s="9"/>
      <c r="BL15" s="15"/>
      <c r="BM15" s="10"/>
      <c r="BN15">
        <f>SUMIFS($D15:$BM15,$D$9:$BM$9,$H$1)</f>
        <v>0</v>
      </c>
      <c r="BO15">
        <f>SUMIFS($D15:$BM15,$D$9:$BM$9,$H$2)</f>
        <v>0</v>
      </c>
      <c r="BP15">
        <f>BN15-BO15</f>
        <v>0</v>
      </c>
    </row>
    <row r="16" spans="2:69">
      <c r="B16" s="6" t="s">
        <v>28</v>
      </c>
      <c r="C16" s="6" t="s">
        <v>27</v>
      </c>
      <c r="D16" s="10"/>
      <c r="E16" s="15"/>
      <c r="F16" s="9"/>
      <c r="G16" s="9"/>
      <c r="H16" s="15"/>
      <c r="I16" s="15"/>
      <c r="J16" s="9"/>
      <c r="K16" s="9"/>
      <c r="L16" s="15"/>
      <c r="M16" s="15"/>
      <c r="N16" s="9"/>
      <c r="O16" s="9"/>
      <c r="P16" s="15"/>
      <c r="Q16" s="15"/>
      <c r="R16" s="9"/>
      <c r="S16" s="9"/>
      <c r="T16" s="15"/>
      <c r="U16" s="15"/>
      <c r="V16" s="9"/>
      <c r="W16" s="9"/>
      <c r="X16" s="15"/>
      <c r="Y16" s="15"/>
      <c r="Z16" s="9"/>
      <c r="AA16" s="9"/>
      <c r="AB16" s="15"/>
      <c r="AC16" s="15"/>
      <c r="AD16" s="9"/>
      <c r="AE16" s="9"/>
      <c r="AF16" s="15"/>
      <c r="AG16" s="15"/>
      <c r="AH16" s="9"/>
      <c r="AI16" s="9"/>
      <c r="AJ16" s="15"/>
      <c r="AK16" s="15"/>
      <c r="AL16" s="9"/>
      <c r="AM16" s="9"/>
      <c r="AN16" s="15"/>
      <c r="AO16" s="15"/>
      <c r="AP16" s="9"/>
      <c r="AQ16" s="9"/>
      <c r="AR16" s="15"/>
      <c r="AS16" s="15"/>
      <c r="AT16" s="9"/>
      <c r="AU16" s="9"/>
      <c r="AV16" s="15"/>
      <c r="AW16" s="15"/>
      <c r="AX16" s="9"/>
      <c r="AY16" s="9"/>
      <c r="AZ16" s="15"/>
      <c r="BA16" s="15"/>
      <c r="BB16" s="9"/>
      <c r="BC16" s="9"/>
      <c r="BD16" s="15"/>
      <c r="BE16" s="15"/>
      <c r="BF16" s="9"/>
      <c r="BG16" s="9"/>
      <c r="BH16" s="15"/>
      <c r="BI16" s="15"/>
      <c r="BJ16" s="9"/>
      <c r="BK16" s="9"/>
      <c r="BL16" s="15"/>
      <c r="BM16" s="10"/>
      <c r="BN16">
        <f>SUMIFS($D16:$BM16,$D$9:$BM$9,$H$1)</f>
        <v>0</v>
      </c>
      <c r="BO16">
        <f>SUMIFS($D16:$BM16,$D$9:$BM$9,$H$2)</f>
        <v>0</v>
      </c>
      <c r="BP16">
        <f>BN16-BO16</f>
        <v>0</v>
      </c>
    </row>
    <row r="17" spans="2:68">
      <c r="B17" s="6" t="s">
        <v>29</v>
      </c>
      <c r="C17" s="6" t="s">
        <v>30</v>
      </c>
      <c r="D17" s="10"/>
      <c r="E17" s="10"/>
      <c r="H17" s="10"/>
      <c r="I17" s="10"/>
      <c r="L17" s="10"/>
      <c r="M17" s="10"/>
      <c r="P17" s="10"/>
      <c r="Q17" s="10"/>
      <c r="T17" s="10"/>
      <c r="U17" s="10"/>
      <c r="X17" s="10"/>
      <c r="Y17" s="10"/>
      <c r="AB17" s="10"/>
      <c r="AC17" s="10"/>
      <c r="AF17" s="10"/>
      <c r="AG17" s="10"/>
      <c r="AJ17" s="10"/>
      <c r="AK17" s="10"/>
      <c r="AN17" s="10"/>
      <c r="AO17" s="10"/>
      <c r="AR17" s="10"/>
      <c r="AS17" s="10"/>
      <c r="AV17" s="10"/>
      <c r="AW17" s="10"/>
      <c r="AZ17" s="10"/>
      <c r="BA17" s="10"/>
      <c r="BD17" s="10"/>
      <c r="BE17" s="10"/>
      <c r="BH17" s="10"/>
      <c r="BI17" s="10"/>
      <c r="BL17" s="10"/>
      <c r="BM17" s="10"/>
      <c r="BN17">
        <f>SUMIFS($D17:$BM17,$D$9:$BM$9,$H$1)</f>
        <v>0</v>
      </c>
      <c r="BO17">
        <f>SUMIFS($D17:$BM17,$D$9:$BM$9,$H$2)</f>
        <v>0</v>
      </c>
      <c r="BP17">
        <f>BN17-BO17</f>
        <v>0</v>
      </c>
    </row>
    <row r="18" spans="2:68">
      <c r="B18" s="6" t="s">
        <v>31</v>
      </c>
      <c r="C18" s="6" t="s">
        <v>32</v>
      </c>
      <c r="D18" s="10"/>
      <c r="E18" s="10"/>
      <c r="H18" s="10"/>
      <c r="I18" s="10"/>
      <c r="L18" s="10"/>
      <c r="M18" s="10"/>
      <c r="P18" s="10"/>
      <c r="Q18" s="10"/>
      <c r="T18" s="10"/>
      <c r="U18" s="10"/>
      <c r="X18" s="10"/>
      <c r="Y18" s="10"/>
      <c r="AB18" s="10"/>
      <c r="AC18" s="10"/>
      <c r="AF18" s="10"/>
      <c r="AG18" s="10"/>
      <c r="AJ18" s="10"/>
      <c r="AK18" s="10"/>
      <c r="AN18" s="10"/>
      <c r="AO18" s="10"/>
      <c r="AR18" s="10"/>
      <c r="AS18" s="10"/>
      <c r="AV18" s="10"/>
      <c r="AW18" s="10"/>
      <c r="AZ18" s="10"/>
      <c r="BA18" s="10"/>
      <c r="BD18" s="10"/>
      <c r="BE18" s="10"/>
      <c r="BH18" s="10"/>
      <c r="BI18" s="10"/>
      <c r="BL18" s="10"/>
      <c r="BM18" s="10"/>
      <c r="BN18">
        <f>SUMIFS($D18:$BM18,$D$9:$BM$9,$H$1)</f>
        <v>0</v>
      </c>
      <c r="BO18">
        <f>SUMIFS($D18:$BM18,$D$9:$BM$9,$H$2)</f>
        <v>0</v>
      </c>
      <c r="BP18">
        <f>BN18-BO18</f>
        <v>0</v>
      </c>
    </row>
    <row r="19" spans="2:68">
      <c r="B19" s="6" t="s">
        <v>33</v>
      </c>
      <c r="C19" s="6" t="s">
        <v>34</v>
      </c>
      <c r="D19" s="10"/>
      <c r="E19" s="10"/>
      <c r="H19" s="10"/>
      <c r="I19" s="10"/>
      <c r="L19" s="10"/>
      <c r="M19" s="10"/>
      <c r="P19" s="10"/>
      <c r="Q19" s="10"/>
      <c r="T19" s="10"/>
      <c r="U19" s="10"/>
      <c r="X19" s="10"/>
      <c r="Y19" s="10"/>
      <c r="AB19" s="10"/>
      <c r="AC19" s="10"/>
      <c r="AF19" s="10"/>
      <c r="AG19" s="10"/>
      <c r="AJ19" s="10"/>
      <c r="AK19" s="10"/>
      <c r="AN19" s="10"/>
      <c r="AO19" s="10"/>
      <c r="AR19" s="10"/>
      <c r="AS19" s="10"/>
      <c r="AV19" s="10"/>
      <c r="AW19" s="10"/>
      <c r="AZ19" s="10"/>
      <c r="BA19" s="10"/>
      <c r="BD19" s="10"/>
      <c r="BE19" s="10"/>
      <c r="BH19" s="10"/>
      <c r="BI19" s="10"/>
      <c r="BL19" s="10"/>
      <c r="BM19" s="10"/>
      <c r="BN19">
        <f>SUMIFS($D19:$BM19,$D$9:$BM$9,$H$1)</f>
        <v>0</v>
      </c>
      <c r="BO19">
        <f>SUMIFS($D19:$BM19,$D$9:$BM$9,$H$2)</f>
        <v>0</v>
      </c>
      <c r="BP19">
        <f>BN19-BO19</f>
        <v>0</v>
      </c>
    </row>
    <row r="20" spans="2:68">
      <c r="B20" s="6" t="s">
        <v>35</v>
      </c>
      <c r="C20" s="6" t="s">
        <v>36</v>
      </c>
      <c r="D20" s="10"/>
      <c r="E20" s="15"/>
      <c r="F20" s="9"/>
      <c r="G20" s="9"/>
      <c r="H20" s="15"/>
      <c r="I20" s="15"/>
      <c r="J20" s="9"/>
      <c r="K20" s="9"/>
      <c r="L20" s="15"/>
      <c r="M20" s="15"/>
      <c r="N20" s="9"/>
      <c r="O20" s="9"/>
      <c r="P20" s="15"/>
      <c r="Q20" s="15"/>
      <c r="R20" s="9"/>
      <c r="S20" s="9"/>
      <c r="T20" s="15"/>
      <c r="U20" s="15"/>
      <c r="V20" s="9"/>
      <c r="W20" s="9"/>
      <c r="X20" s="15"/>
      <c r="Y20" s="15"/>
      <c r="Z20" s="9"/>
      <c r="AA20" s="9"/>
      <c r="AB20" s="15"/>
      <c r="AC20" s="15"/>
      <c r="AD20" s="9"/>
      <c r="AE20" s="9"/>
      <c r="AF20" s="15"/>
      <c r="AG20" s="15"/>
      <c r="AH20" s="9"/>
      <c r="AI20" s="9"/>
      <c r="AJ20" s="15"/>
      <c r="AK20" s="15"/>
      <c r="AL20" s="9"/>
      <c r="AM20" s="9"/>
      <c r="AN20" s="15"/>
      <c r="AO20" s="15"/>
      <c r="AP20" s="9"/>
      <c r="AQ20" s="9"/>
      <c r="AR20" s="15"/>
      <c r="AS20" s="15"/>
      <c r="AT20" s="9"/>
      <c r="AU20" s="9"/>
      <c r="AV20" s="15"/>
      <c r="AW20" s="15"/>
      <c r="AX20" s="9"/>
      <c r="AY20" s="9"/>
      <c r="AZ20" s="15"/>
      <c r="BA20" s="15"/>
      <c r="BB20" s="9"/>
      <c r="BC20" s="9"/>
      <c r="BD20" s="15"/>
      <c r="BE20" s="15"/>
      <c r="BF20" s="9"/>
      <c r="BG20" s="9"/>
      <c r="BH20" s="15"/>
      <c r="BI20" s="15"/>
      <c r="BJ20" s="9"/>
      <c r="BK20" s="9"/>
      <c r="BL20" s="15"/>
      <c r="BM20" s="10"/>
      <c r="BN20">
        <f>SUMIFS($D20:$BM20,$D$9:$BM$9,$H$1)</f>
        <v>0</v>
      </c>
      <c r="BO20">
        <f>SUMIFS($D20:$BM20,$D$9:$BM$9,$H$2)</f>
        <v>0</v>
      </c>
      <c r="BP20">
        <f>BN20-BO20</f>
        <v>0</v>
      </c>
    </row>
    <row r="21" spans="2:68">
      <c r="B21" s="6" t="s">
        <v>37</v>
      </c>
      <c r="C21" s="6" t="s">
        <v>38</v>
      </c>
      <c r="D21" s="10"/>
      <c r="E21" s="10"/>
      <c r="H21" s="10"/>
      <c r="I21" s="10"/>
      <c r="L21" s="10"/>
      <c r="M21" s="10"/>
      <c r="P21" s="10"/>
      <c r="Q21" s="10"/>
      <c r="T21" s="10"/>
      <c r="U21" s="10"/>
      <c r="X21" s="10"/>
      <c r="Y21" s="10"/>
      <c r="AB21" s="10"/>
      <c r="AC21" s="10"/>
      <c r="AF21" s="10"/>
      <c r="AG21" s="10"/>
      <c r="AJ21" s="10"/>
      <c r="AK21" s="10"/>
      <c r="AN21" s="10"/>
      <c r="AO21" s="10"/>
      <c r="AR21" s="10"/>
      <c r="AS21" s="10"/>
      <c r="AV21" s="10"/>
      <c r="AW21" s="10"/>
      <c r="AZ21" s="10"/>
      <c r="BA21" s="10"/>
      <c r="BD21" s="10"/>
      <c r="BE21" s="10"/>
      <c r="BH21" s="10"/>
      <c r="BI21" s="10"/>
      <c r="BL21" s="10"/>
      <c r="BM21" s="10"/>
      <c r="BN21">
        <f>SUMIFS($D21:$BM21,$D$9:$BM$9,$H$1)</f>
        <v>0</v>
      </c>
      <c r="BO21">
        <f>SUMIFS($D21:$BM21,$D$9:$BM$9,$H$2)</f>
        <v>0</v>
      </c>
      <c r="BP21">
        <f>BN21-BO21</f>
        <v>0</v>
      </c>
    </row>
    <row r="22" spans="2:68">
      <c r="B22" s="6" t="s">
        <v>39</v>
      </c>
      <c r="C22" s="6" t="s">
        <v>40</v>
      </c>
      <c r="D22" s="10"/>
      <c r="E22" s="10"/>
      <c r="H22" s="10"/>
      <c r="I22" s="10"/>
      <c r="L22" s="10"/>
      <c r="M22" s="10"/>
      <c r="P22" s="10"/>
      <c r="Q22" s="10"/>
      <c r="T22" s="10"/>
      <c r="U22" s="10"/>
      <c r="X22" s="10"/>
      <c r="Y22" s="10"/>
      <c r="AB22" s="10"/>
      <c r="AC22" s="10"/>
      <c r="AF22" s="10"/>
      <c r="AG22" s="10"/>
      <c r="AJ22" s="10"/>
      <c r="AK22" s="10"/>
      <c r="AN22" s="10"/>
      <c r="AO22" s="10"/>
      <c r="AR22" s="10"/>
      <c r="AS22" s="10"/>
      <c r="AV22" s="10"/>
      <c r="AW22" s="10"/>
      <c r="AZ22" s="10"/>
      <c r="BA22" s="10"/>
      <c r="BD22" s="10"/>
      <c r="BE22" s="10"/>
      <c r="BH22" s="10"/>
      <c r="BI22" s="10"/>
      <c r="BL22" s="10"/>
      <c r="BM22" s="10"/>
      <c r="BN22">
        <f>SUMIFS($D22:$BM22,$D$9:$BM$9,$H$1)</f>
        <v>0</v>
      </c>
      <c r="BO22">
        <f>SUMIFS($D22:$BM22,$D$9:$BM$9,$H$2)</f>
        <v>0</v>
      </c>
      <c r="BP22">
        <f>BN22-BO22</f>
        <v>0</v>
      </c>
    </row>
    <row r="23" spans="2:68">
      <c r="B23" s="6" t="s">
        <v>41</v>
      </c>
      <c r="C23" s="6" t="s">
        <v>42</v>
      </c>
      <c r="D23" s="10"/>
      <c r="E23" s="10"/>
      <c r="H23" s="10"/>
      <c r="I23" s="10"/>
      <c r="L23" s="10"/>
      <c r="M23" s="10"/>
      <c r="P23" s="10"/>
      <c r="Q23" s="10"/>
      <c r="T23" s="10"/>
      <c r="U23" s="10"/>
      <c r="X23" s="10"/>
      <c r="Y23" s="10"/>
      <c r="AB23" s="10"/>
      <c r="AC23" s="10"/>
      <c r="AF23" s="10"/>
      <c r="AG23" s="10"/>
      <c r="AJ23" s="10"/>
      <c r="AK23" s="10"/>
      <c r="AN23" s="10"/>
      <c r="AO23" s="10"/>
      <c r="AR23" s="10"/>
      <c r="AS23" s="10"/>
      <c r="AV23" s="10"/>
      <c r="AW23" s="10"/>
      <c r="AZ23" s="10"/>
      <c r="BA23" s="10"/>
      <c r="BD23" s="10"/>
      <c r="BE23" s="10"/>
      <c r="BH23" s="10"/>
      <c r="BI23" s="10"/>
      <c r="BL23" s="10"/>
      <c r="BM23" s="10"/>
      <c r="BN23">
        <f>SUMIFS($D23:$BM23,$D$9:$BM$9,$H$1)</f>
        <v>0</v>
      </c>
      <c r="BO23">
        <f>SUMIFS($D23:$BM23,$D$9:$BM$9,$H$2)</f>
        <v>0</v>
      </c>
      <c r="BP23">
        <f>BN23-BO23</f>
        <v>0</v>
      </c>
    </row>
    <row r="24" spans="2:68">
      <c r="B24" s="6" t="s">
        <v>43</v>
      </c>
      <c r="C24" s="6" t="s">
        <v>44</v>
      </c>
      <c r="D24" s="10"/>
      <c r="E24" s="10"/>
      <c r="H24" s="10"/>
      <c r="I24" s="10"/>
      <c r="L24" s="10"/>
      <c r="M24" s="10"/>
      <c r="P24" s="10"/>
      <c r="Q24" s="10"/>
      <c r="T24" s="10"/>
      <c r="U24" s="10"/>
      <c r="X24" s="10"/>
      <c r="Y24" s="10"/>
      <c r="AB24" s="10"/>
      <c r="AC24" s="10"/>
      <c r="AF24" s="10"/>
      <c r="AG24" s="10"/>
      <c r="AJ24" s="10"/>
      <c r="AK24" s="10"/>
      <c r="AN24" s="10"/>
      <c r="AO24" s="10"/>
      <c r="AR24" s="10"/>
      <c r="AS24" s="10"/>
      <c r="AV24" s="10"/>
      <c r="AW24" s="10"/>
      <c r="AZ24" s="10"/>
      <c r="BA24" s="10"/>
      <c r="BD24" s="10"/>
      <c r="BE24" s="10"/>
      <c r="BH24" s="10"/>
      <c r="BI24" s="10"/>
      <c r="BL24" s="10"/>
      <c r="BM24" s="10"/>
      <c r="BN24">
        <f>SUMIFS($D24:$BM24,$D$9:$BM$9,$H$1)</f>
        <v>0</v>
      </c>
      <c r="BO24">
        <f>SUMIFS($D24:$BM24,$D$9:$BM$9,$H$2)</f>
        <v>0</v>
      </c>
      <c r="BP24">
        <f>BN24-BO24</f>
        <v>0</v>
      </c>
    </row>
    <row r="25" spans="2:68">
      <c r="B25" s="6" t="s">
        <v>45</v>
      </c>
      <c r="C25" s="6" t="s">
        <v>46</v>
      </c>
      <c r="D25" s="10"/>
      <c r="E25" s="10"/>
      <c r="H25" s="10"/>
      <c r="I25" s="10"/>
      <c r="L25" s="10"/>
      <c r="M25" s="10"/>
      <c r="P25" s="10"/>
      <c r="Q25" s="10"/>
      <c r="T25" s="10"/>
      <c r="U25" s="10"/>
      <c r="X25" s="10"/>
      <c r="Y25" s="10"/>
      <c r="AB25" s="10"/>
      <c r="AC25" s="10"/>
      <c r="AF25" s="10"/>
      <c r="AG25" s="10"/>
      <c r="AJ25" s="10"/>
      <c r="AK25" s="10"/>
      <c r="AN25" s="10"/>
      <c r="AO25" s="10"/>
      <c r="AR25" s="10"/>
      <c r="AS25" s="10"/>
      <c r="AV25" s="10"/>
      <c r="AW25" s="10"/>
      <c r="AZ25" s="10"/>
      <c r="BA25" s="10"/>
      <c r="BD25" s="10"/>
      <c r="BE25" s="10"/>
      <c r="BH25" s="10"/>
      <c r="BI25" s="10"/>
      <c r="BL25" s="10"/>
      <c r="BM25" s="10"/>
      <c r="BN25">
        <f>SUMIFS($D25:$BM25,$D$9:$BM$9,$H$1)</f>
        <v>0</v>
      </c>
      <c r="BO25">
        <f>SUMIFS($D25:$BM25,$D$9:$BM$9,$H$2)</f>
        <v>0</v>
      </c>
      <c r="BP25">
        <f>BN25-BO25</f>
        <v>0</v>
      </c>
    </row>
    <row r="26" spans="2:68">
      <c r="B26" s="6" t="s">
        <v>47</v>
      </c>
      <c r="C26" s="6" t="s">
        <v>48</v>
      </c>
      <c r="D26" s="10"/>
      <c r="E26" s="10"/>
      <c r="H26" s="10"/>
      <c r="I26" s="10"/>
      <c r="L26" s="10"/>
      <c r="M26" s="10"/>
      <c r="P26" s="10"/>
      <c r="Q26" s="10"/>
      <c r="T26" s="10"/>
      <c r="U26" s="10"/>
      <c r="X26" s="10"/>
      <c r="Y26" s="10"/>
      <c r="AB26" s="10"/>
      <c r="AC26" s="10"/>
      <c r="AF26" s="10"/>
      <c r="AG26" s="10"/>
      <c r="AJ26" s="10"/>
      <c r="AK26" s="10"/>
      <c r="AN26" s="10"/>
      <c r="AO26" s="10"/>
      <c r="AR26" s="10"/>
      <c r="AS26" s="10"/>
      <c r="AV26" s="10"/>
      <c r="AW26" s="10"/>
      <c r="AZ26" s="10"/>
      <c r="BA26" s="10"/>
      <c r="BD26" s="10"/>
      <c r="BE26" s="10"/>
      <c r="BH26" s="10"/>
      <c r="BI26" s="10"/>
      <c r="BL26" s="10"/>
      <c r="BM26" s="10"/>
      <c r="BN26">
        <f>SUMIFS($D26:$BM26,$D$9:$BM$9,$H$1)</f>
        <v>0</v>
      </c>
      <c r="BO26">
        <f>SUMIFS($D26:$BM26,$D$9:$BM$9,$H$2)</f>
        <v>0</v>
      </c>
      <c r="BP26">
        <f>BN26-BO26</f>
        <v>0</v>
      </c>
    </row>
    <row r="27" spans="2:68">
      <c r="B27" s="6" t="s">
        <v>49</v>
      </c>
      <c r="C27" s="6" t="s">
        <v>50</v>
      </c>
      <c r="D27" s="10"/>
      <c r="E27" s="10"/>
      <c r="H27" s="10"/>
      <c r="I27" s="10"/>
      <c r="L27" s="10"/>
      <c r="M27" s="10"/>
      <c r="P27" s="10"/>
      <c r="Q27" s="10"/>
      <c r="T27" s="10"/>
      <c r="U27" s="10"/>
      <c r="X27" s="10"/>
      <c r="Y27" s="10"/>
      <c r="AB27" s="10"/>
      <c r="AC27" s="10"/>
      <c r="AF27" s="10"/>
      <c r="AG27" s="10"/>
      <c r="AJ27" s="10"/>
      <c r="AK27" s="10"/>
      <c r="AN27" s="10"/>
      <c r="AO27" s="10"/>
      <c r="AR27" s="10"/>
      <c r="AS27" s="10"/>
      <c r="AV27" s="10"/>
      <c r="AW27" s="10"/>
      <c r="AZ27" s="10"/>
      <c r="BA27" s="10"/>
      <c r="BD27" s="10"/>
      <c r="BE27" s="10"/>
      <c r="BH27" s="10"/>
      <c r="BI27" s="10"/>
      <c r="BL27" s="10"/>
      <c r="BM27" s="10"/>
      <c r="BN27">
        <f>SUMIFS($D27:$BM27,$D$9:$BM$9,$H$1)</f>
        <v>0</v>
      </c>
      <c r="BO27">
        <f>SUMIFS($D27:$BM27,$D$9:$BM$9,$H$2)</f>
        <v>0</v>
      </c>
      <c r="BP27">
        <f>BN27-BO27</f>
        <v>0</v>
      </c>
    </row>
    <row r="28" spans="2:68">
      <c r="B28" s="6" t="s">
        <v>51</v>
      </c>
      <c r="C28" s="6" t="s">
        <v>50</v>
      </c>
      <c r="D28" s="10"/>
      <c r="E28" s="10"/>
      <c r="H28" s="10"/>
      <c r="I28" s="10"/>
      <c r="L28" s="10"/>
      <c r="M28" s="10"/>
      <c r="P28" s="10"/>
      <c r="Q28" s="10"/>
      <c r="T28" s="10"/>
      <c r="U28" s="10"/>
      <c r="X28" s="10"/>
      <c r="Y28" s="10"/>
      <c r="AB28" s="10"/>
      <c r="AC28" s="10"/>
      <c r="AF28" s="10"/>
      <c r="AG28" s="10"/>
      <c r="AJ28" s="10"/>
      <c r="AK28" s="10"/>
      <c r="AN28" s="10"/>
      <c r="AO28" s="10"/>
      <c r="AR28" s="10"/>
      <c r="AS28" s="10"/>
      <c r="AV28" s="10"/>
      <c r="AW28" s="10"/>
      <c r="AZ28" s="10"/>
      <c r="BA28" s="10"/>
      <c r="BD28" s="10"/>
      <c r="BE28" s="10"/>
      <c r="BH28" s="10"/>
      <c r="BI28" s="10"/>
      <c r="BL28" s="10"/>
      <c r="BM28" s="10"/>
      <c r="BN28">
        <f>SUMIFS($D28:$BM28,$D$9:$BM$9,$H$1)</f>
        <v>0</v>
      </c>
      <c r="BO28">
        <f>SUMIFS($D28:$BM28,$D$9:$BM$9,$H$2)</f>
        <v>0</v>
      </c>
      <c r="BP28">
        <f>BN28-BO28</f>
        <v>0</v>
      </c>
    </row>
    <row r="29" spans="2:68">
      <c r="B29" s="6" t="s">
        <v>52</v>
      </c>
      <c r="C29" s="6" t="s">
        <v>50</v>
      </c>
      <c r="D29" s="10"/>
      <c r="E29" s="15"/>
      <c r="F29" s="9"/>
      <c r="G29" s="9"/>
      <c r="H29" s="15"/>
      <c r="I29" s="15"/>
      <c r="J29" s="9"/>
      <c r="K29" s="9"/>
      <c r="L29" s="15"/>
      <c r="M29" s="15"/>
      <c r="N29" s="9"/>
      <c r="O29" s="9"/>
      <c r="P29" s="15"/>
      <c r="Q29" s="15"/>
      <c r="R29" s="9"/>
      <c r="S29" s="9"/>
      <c r="T29" s="15"/>
      <c r="U29" s="15"/>
      <c r="V29" s="9"/>
      <c r="W29" s="9"/>
      <c r="X29" s="15"/>
      <c r="Y29" s="15"/>
      <c r="Z29" s="9"/>
      <c r="AA29" s="9"/>
      <c r="AB29" s="15"/>
      <c r="AC29" s="15"/>
      <c r="AD29" s="9"/>
      <c r="AE29" s="9"/>
      <c r="AF29" s="15"/>
      <c r="AG29" s="15"/>
      <c r="AH29" s="9"/>
      <c r="AI29" s="9"/>
      <c r="AJ29" s="15"/>
      <c r="AK29" s="15"/>
      <c r="AL29" s="9"/>
      <c r="AM29" s="9"/>
      <c r="AN29" s="15"/>
      <c r="AO29" s="15"/>
      <c r="AP29" s="9"/>
      <c r="AQ29" s="9"/>
      <c r="AR29" s="15"/>
      <c r="AS29" s="15"/>
      <c r="AT29" s="9"/>
      <c r="AU29" s="9"/>
      <c r="AV29" s="15"/>
      <c r="AW29" s="15"/>
      <c r="AX29" s="9"/>
      <c r="AY29" s="9"/>
      <c r="AZ29" s="15"/>
      <c r="BA29" s="15"/>
      <c r="BB29" s="9"/>
      <c r="BC29" s="9"/>
      <c r="BD29" s="15"/>
      <c r="BE29" s="15"/>
      <c r="BF29" s="9"/>
      <c r="BG29" s="9"/>
      <c r="BH29" s="15"/>
      <c r="BI29" s="15"/>
      <c r="BJ29" s="9"/>
      <c r="BK29" s="9"/>
      <c r="BL29" s="15"/>
      <c r="BM29" s="10"/>
      <c r="BN29">
        <f>SUMIFS($D29:$BM29,$D$9:$BM$9,$H$1)</f>
        <v>0</v>
      </c>
      <c r="BO29">
        <f>SUMIFS($D29:$BM29,$D$9:$BM$9,$H$2)</f>
        <v>0</v>
      </c>
      <c r="BP29">
        <f>BN29-BO29</f>
        <v>0</v>
      </c>
    </row>
    <row r="30" spans="2:68">
      <c r="B30" s="6" t="s">
        <v>53</v>
      </c>
      <c r="C30" s="6" t="s">
        <v>54</v>
      </c>
      <c r="D30" s="10"/>
      <c r="E30" s="10"/>
      <c r="H30" s="10"/>
      <c r="I30" s="10"/>
      <c r="L30" s="10"/>
      <c r="M30" s="10"/>
      <c r="P30" s="10"/>
      <c r="Q30" s="10"/>
      <c r="T30" s="10"/>
      <c r="U30" s="10"/>
      <c r="X30" s="10"/>
      <c r="Y30" s="10"/>
      <c r="AB30" s="10"/>
      <c r="AC30" s="10"/>
      <c r="AF30" s="10"/>
      <c r="AG30" s="10"/>
      <c r="AJ30" s="10"/>
      <c r="AK30" s="10"/>
      <c r="AN30" s="10"/>
      <c r="AO30" s="10"/>
      <c r="AR30" s="10"/>
      <c r="AS30" s="10"/>
      <c r="AV30" s="10"/>
      <c r="AW30" s="10"/>
      <c r="AZ30" s="10"/>
      <c r="BA30" s="10"/>
      <c r="BD30" s="10"/>
      <c r="BE30" s="10"/>
      <c r="BH30" s="10"/>
      <c r="BI30" s="10"/>
      <c r="BL30" s="10"/>
      <c r="BM30" s="10"/>
      <c r="BN30">
        <f>SUMIFS($D30:$BM30,$D$9:$BM$9,$H$1)</f>
        <v>0</v>
      </c>
      <c r="BO30">
        <f>SUMIFS($D30:$BM30,$D$9:$BM$9,$H$2)</f>
        <v>0</v>
      </c>
      <c r="BP30">
        <f>BN30-BO30</f>
        <v>0</v>
      </c>
    </row>
    <row r="31" spans="2:68">
      <c r="B31" s="6" t="s">
        <v>55</v>
      </c>
      <c r="C31" s="6" t="s">
        <v>56</v>
      </c>
      <c r="D31" s="10"/>
      <c r="E31" s="10"/>
      <c r="H31" s="10"/>
      <c r="I31" s="10"/>
      <c r="L31" s="10"/>
      <c r="M31" s="10"/>
      <c r="P31" s="10"/>
      <c r="Q31" s="10"/>
      <c r="T31" s="10"/>
      <c r="U31" s="10"/>
      <c r="X31" s="10"/>
      <c r="Y31" s="10"/>
      <c r="AB31" s="10"/>
      <c r="AC31" s="10"/>
      <c r="AF31" s="10"/>
      <c r="AG31" s="10"/>
      <c r="AJ31" s="10"/>
      <c r="AK31" s="10"/>
      <c r="AN31" s="10"/>
      <c r="AO31" s="10"/>
      <c r="AR31" s="10"/>
      <c r="AS31" s="10"/>
      <c r="AV31" s="10"/>
      <c r="AW31" s="10"/>
      <c r="AZ31" s="10"/>
      <c r="BA31" s="10"/>
      <c r="BD31" s="10"/>
      <c r="BE31" s="10"/>
      <c r="BH31" s="10"/>
      <c r="BI31" s="10"/>
      <c r="BL31" s="10"/>
      <c r="BM31" s="10"/>
      <c r="BN31">
        <f>SUMIFS($D31:$BM31,$D$9:$BM$9,$H$1)</f>
        <v>0</v>
      </c>
      <c r="BO31">
        <f>SUMIFS($D31:$BM31,$D$9:$BM$9,$H$2)</f>
        <v>0</v>
      </c>
      <c r="BP31">
        <f>BN31-BO31</f>
        <v>0</v>
      </c>
    </row>
    <row r="32" spans="2:68">
      <c r="B32" s="6" t="s">
        <v>57</v>
      </c>
      <c r="C32" s="6" t="s">
        <v>56</v>
      </c>
      <c r="D32" s="10"/>
      <c r="E32" s="10"/>
      <c r="H32" s="10"/>
      <c r="I32" s="10"/>
      <c r="L32" s="10"/>
      <c r="M32" s="10"/>
      <c r="P32" s="10"/>
      <c r="Q32" s="10"/>
      <c r="T32" s="10"/>
      <c r="U32" s="10"/>
      <c r="X32" s="10"/>
      <c r="Y32" s="10"/>
      <c r="AB32" s="10"/>
      <c r="AC32" s="10"/>
      <c r="AF32" s="10"/>
      <c r="AG32" s="10"/>
      <c r="AJ32" s="10"/>
      <c r="AK32" s="10"/>
      <c r="AN32" s="10"/>
      <c r="AO32" s="10"/>
      <c r="AR32" s="10"/>
      <c r="AS32" s="10"/>
      <c r="AV32" s="10"/>
      <c r="AW32" s="10"/>
      <c r="AZ32" s="10"/>
      <c r="BA32" s="10"/>
      <c r="BD32" s="10"/>
      <c r="BE32" s="10"/>
      <c r="BH32" s="10"/>
      <c r="BI32" s="10"/>
      <c r="BL32" s="10"/>
      <c r="BM32" s="10"/>
      <c r="BN32">
        <f>SUMIFS($D32:$BM32,$D$9:$BM$9,$H$1)</f>
        <v>0</v>
      </c>
      <c r="BO32">
        <f>SUMIFS($D32:$BM32,$D$9:$BM$9,$H$2)</f>
        <v>0</v>
      </c>
      <c r="BP32">
        <f>BN32-BO32</f>
        <v>0</v>
      </c>
    </row>
    <row r="33" spans="2:68">
      <c r="B33" s="6" t="s">
        <v>58</v>
      </c>
      <c r="C33" s="6" t="s">
        <v>56</v>
      </c>
      <c r="D33" s="10"/>
      <c r="E33" s="10"/>
      <c r="H33" s="10"/>
      <c r="I33" s="10"/>
      <c r="L33" s="10"/>
      <c r="M33" s="10"/>
      <c r="P33" s="10"/>
      <c r="Q33" s="10"/>
      <c r="T33" s="10"/>
      <c r="U33" s="10"/>
      <c r="X33" s="10"/>
      <c r="Y33" s="10"/>
      <c r="AB33" s="10"/>
      <c r="AC33" s="10"/>
      <c r="AF33" s="10"/>
      <c r="AG33" s="10"/>
      <c r="AJ33" s="10"/>
      <c r="AK33" s="10"/>
      <c r="AN33" s="10"/>
      <c r="AO33" s="10"/>
      <c r="AR33" s="10"/>
      <c r="AS33" s="10"/>
      <c r="AV33" s="10"/>
      <c r="AW33" s="10"/>
      <c r="AZ33" s="10"/>
      <c r="BA33" s="10"/>
      <c r="BD33" s="10"/>
      <c r="BE33" s="10"/>
      <c r="BH33" s="10"/>
      <c r="BI33" s="10"/>
      <c r="BL33" s="10"/>
      <c r="BM33" s="10"/>
      <c r="BN33">
        <f>SUMIFS($D33:$BM33,$D$9:$BM$9,$H$1)</f>
        <v>0</v>
      </c>
      <c r="BO33">
        <f>SUMIFS($D33:$BM33,$D$9:$BM$9,$H$2)</f>
        <v>0</v>
      </c>
      <c r="BP33">
        <f>BN33-BO33</f>
        <v>0</v>
      </c>
    </row>
    <row r="34" spans="2:68">
      <c r="B34" s="6" t="s">
        <v>59</v>
      </c>
      <c r="C34" s="6" t="s">
        <v>56</v>
      </c>
      <c r="D34" s="10"/>
      <c r="E34" s="10"/>
      <c r="H34" s="10"/>
      <c r="I34" s="10"/>
      <c r="L34" s="10"/>
      <c r="M34" s="10"/>
      <c r="P34" s="10"/>
      <c r="Q34" s="10"/>
      <c r="T34" s="10"/>
      <c r="U34" s="10"/>
      <c r="X34" s="10"/>
      <c r="Y34" s="10"/>
      <c r="AB34" s="10"/>
      <c r="AC34" s="10"/>
      <c r="AF34" s="10"/>
      <c r="AG34" s="10"/>
      <c r="AJ34" s="10"/>
      <c r="AK34" s="10"/>
      <c r="AN34" s="10"/>
      <c r="AO34" s="10"/>
      <c r="AR34" s="10"/>
      <c r="AS34" s="10"/>
      <c r="AV34" s="10"/>
      <c r="AW34" s="10"/>
      <c r="AZ34" s="10"/>
      <c r="BA34" s="10"/>
      <c r="BD34" s="10"/>
      <c r="BE34" s="10"/>
      <c r="BH34" s="10"/>
      <c r="BI34" s="10"/>
      <c r="BL34" s="10"/>
      <c r="BM34" s="10"/>
      <c r="BN34">
        <f>SUMIFS($D34:$BM34,$D$9:$BM$9,$H$1)</f>
        <v>0</v>
      </c>
      <c r="BO34">
        <f>SUMIFS($D34:$BM34,$D$9:$BM$9,$H$2)</f>
        <v>0</v>
      </c>
      <c r="BP34">
        <f>BN34-BO34</f>
        <v>0</v>
      </c>
    </row>
    <row r="35" spans="2:68">
      <c r="B35" s="6" t="s">
        <v>60</v>
      </c>
      <c r="C35" s="6" t="s">
        <v>61</v>
      </c>
      <c r="D35" s="10"/>
      <c r="E35" s="10"/>
      <c r="H35" s="10"/>
      <c r="I35" s="10"/>
      <c r="L35" s="10"/>
      <c r="M35" s="10"/>
      <c r="P35" s="10"/>
      <c r="Q35" s="10"/>
      <c r="T35" s="10"/>
      <c r="U35" s="10"/>
      <c r="X35" s="10"/>
      <c r="Y35" s="10"/>
      <c r="AB35" s="10"/>
      <c r="AC35" s="10"/>
      <c r="AF35" s="10"/>
      <c r="AG35" s="10"/>
      <c r="AJ35" s="10"/>
      <c r="AK35" s="10"/>
      <c r="AN35" s="10"/>
      <c r="AO35" s="10"/>
      <c r="AR35" s="10"/>
      <c r="AS35" s="10"/>
      <c r="AV35" s="10"/>
      <c r="AW35" s="10"/>
      <c r="AZ35" s="10"/>
      <c r="BA35" s="10"/>
      <c r="BD35" s="10"/>
      <c r="BE35" s="10"/>
      <c r="BH35" s="10"/>
      <c r="BI35" s="10"/>
      <c r="BL35" s="10"/>
      <c r="BM35" s="10"/>
      <c r="BN35">
        <f>SUMIFS($D35:$BM35,$D$9:$BM$9,$H$1)</f>
        <v>0</v>
      </c>
      <c r="BO35">
        <f>SUMIFS($D35:$BM35,$D$9:$BM$9,$H$2)</f>
        <v>0</v>
      </c>
      <c r="BP35">
        <f>BN35-BO35</f>
        <v>0</v>
      </c>
    </row>
    <row r="36" spans="2:68">
      <c r="B36" s="6" t="s">
        <v>62</v>
      </c>
      <c r="C36" s="6" t="s">
        <v>63</v>
      </c>
      <c r="D36" s="10"/>
      <c r="E36" s="10"/>
      <c r="H36" s="10"/>
      <c r="I36" s="10"/>
      <c r="L36" s="10"/>
      <c r="M36" s="10"/>
      <c r="P36" s="10"/>
      <c r="Q36" s="10"/>
      <c r="T36" s="10"/>
      <c r="U36" s="10"/>
      <c r="X36" s="10"/>
      <c r="Y36" s="10"/>
      <c r="AB36" s="10"/>
      <c r="AC36" s="10"/>
      <c r="AF36" s="10"/>
      <c r="AG36" s="10"/>
      <c r="AJ36" s="10"/>
      <c r="AK36" s="10"/>
      <c r="AN36" s="10"/>
      <c r="AO36" s="10"/>
      <c r="AR36" s="10"/>
      <c r="AS36" s="10"/>
      <c r="AV36" s="10"/>
      <c r="AW36" s="10"/>
      <c r="AZ36" s="10"/>
      <c r="BA36" s="10"/>
      <c r="BD36" s="10"/>
      <c r="BE36" s="10"/>
      <c r="BH36" s="10"/>
      <c r="BI36" s="10"/>
      <c r="BL36" s="10"/>
      <c r="BM36" s="10"/>
      <c r="BN36">
        <f>SUMIFS($D36:$BM36,$D$9:$BM$9,$H$1)</f>
        <v>0</v>
      </c>
      <c r="BO36">
        <f>SUMIFS($D36:$BM36,$D$9:$BM$9,$H$2)</f>
        <v>0</v>
      </c>
      <c r="BP36">
        <f>BN36-BO36</f>
        <v>0</v>
      </c>
    </row>
    <row r="37" spans="2:68">
      <c r="B37" s="6" t="s">
        <v>64</v>
      </c>
      <c r="C37" s="6" t="s">
        <v>63</v>
      </c>
      <c r="D37" s="10"/>
      <c r="E37" s="10"/>
      <c r="H37" s="10"/>
      <c r="I37" s="10"/>
      <c r="L37" s="10"/>
      <c r="M37" s="10"/>
      <c r="P37" s="10"/>
      <c r="Q37" s="10"/>
      <c r="T37" s="10"/>
      <c r="U37" s="10"/>
      <c r="X37" s="10"/>
      <c r="Y37" s="10"/>
      <c r="AB37" s="10"/>
      <c r="AC37" s="10"/>
      <c r="AF37" s="10"/>
      <c r="AG37" s="10"/>
      <c r="AJ37" s="10"/>
      <c r="AK37" s="10"/>
      <c r="AN37" s="10"/>
      <c r="AO37" s="10"/>
      <c r="AR37" s="10"/>
      <c r="AS37" s="10"/>
      <c r="AV37" s="10"/>
      <c r="AW37" s="10"/>
      <c r="AZ37" s="10"/>
      <c r="BA37" s="10"/>
      <c r="BD37" s="10"/>
      <c r="BE37" s="10"/>
      <c r="BH37" s="10"/>
      <c r="BI37" s="10"/>
      <c r="BL37" s="10"/>
      <c r="BM37" s="10"/>
      <c r="BN37">
        <f>SUMIFS($D37:$BM37,$D$9:$BM$9,$H$1)</f>
        <v>0</v>
      </c>
      <c r="BO37">
        <f>SUMIFS($D37:$BM37,$D$9:$BM$9,$H$2)</f>
        <v>0</v>
      </c>
      <c r="BP37">
        <f>BN37-BO37</f>
        <v>0</v>
      </c>
    </row>
    <row r="38" spans="2:68">
      <c r="B38" s="6" t="s">
        <v>65</v>
      </c>
      <c r="C38" s="6" t="s">
        <v>66</v>
      </c>
      <c r="D38" s="10"/>
      <c r="E38" s="10"/>
      <c r="H38" s="10"/>
      <c r="I38" s="10"/>
      <c r="L38" s="10"/>
      <c r="M38" s="10"/>
      <c r="P38" s="10"/>
      <c r="Q38" s="10"/>
      <c r="T38" s="10"/>
      <c r="U38" s="10"/>
      <c r="X38" s="10"/>
      <c r="Y38" s="10"/>
      <c r="AB38" s="10"/>
      <c r="AC38" s="10"/>
      <c r="AF38" s="10"/>
      <c r="AG38" s="10"/>
      <c r="AJ38" s="10"/>
      <c r="AK38" s="10"/>
      <c r="AN38" s="10"/>
      <c r="AO38" s="10"/>
      <c r="AR38" s="10"/>
      <c r="AS38" s="10"/>
      <c r="AV38" s="10"/>
      <c r="AW38" s="10"/>
      <c r="AZ38" s="10"/>
      <c r="BA38" s="10"/>
      <c r="BD38" s="10"/>
      <c r="BE38" s="10"/>
      <c r="BH38" s="10"/>
      <c r="BI38" s="10"/>
      <c r="BL38" s="10"/>
      <c r="BM38" s="10"/>
      <c r="BN38">
        <f>SUMIFS($D38:$BM38,$D$9:$BM$9,$H$1)</f>
        <v>0</v>
      </c>
      <c r="BO38">
        <f>SUMIFS($D38:$BM38,$D$9:$BM$9,$H$2)</f>
        <v>0</v>
      </c>
      <c r="BP38">
        <f>BN38-BO38</f>
        <v>0</v>
      </c>
    </row>
    <row r="39" spans="2:68">
      <c r="B39" s="6" t="s">
        <v>67</v>
      </c>
      <c r="C39" s="6" t="s">
        <v>68</v>
      </c>
      <c r="D39" s="10"/>
      <c r="E39" s="10"/>
      <c r="H39" s="10"/>
      <c r="I39" s="10"/>
      <c r="L39" s="10"/>
      <c r="M39" s="10"/>
      <c r="P39" s="10"/>
      <c r="Q39" s="10"/>
      <c r="T39" s="10"/>
      <c r="U39" s="10"/>
      <c r="X39" s="10"/>
      <c r="Y39" s="10"/>
      <c r="AB39" s="10"/>
      <c r="AC39" s="10"/>
      <c r="AF39" s="10"/>
      <c r="AG39" s="10"/>
      <c r="AJ39" s="10"/>
      <c r="AK39" s="10"/>
      <c r="AN39" s="10"/>
      <c r="AO39" s="10"/>
      <c r="AR39" s="10"/>
      <c r="AS39" s="10"/>
      <c r="AV39" s="10"/>
      <c r="AW39" s="10"/>
      <c r="AZ39" s="10"/>
      <c r="BA39" s="10"/>
      <c r="BD39" s="10"/>
      <c r="BE39" s="10"/>
      <c r="BH39" s="10"/>
      <c r="BI39" s="10"/>
      <c r="BL39" s="10"/>
      <c r="BM39" s="10"/>
      <c r="BN39">
        <f>SUMIFS($D39:$BM39,$D$9:$BM$9,$H$1)</f>
        <v>0</v>
      </c>
      <c r="BO39">
        <f>SUMIFS($D39:$BM39,$D$9:$BM$9,$H$2)</f>
        <v>0</v>
      </c>
      <c r="BP39">
        <f>BN39-BO39</f>
        <v>0</v>
      </c>
    </row>
    <row r="40" spans="2:68">
      <c r="B40" s="6" t="s">
        <v>69</v>
      </c>
      <c r="C40" s="6" t="s">
        <v>70</v>
      </c>
      <c r="D40" s="10"/>
      <c r="E40" s="10"/>
      <c r="H40" s="10"/>
      <c r="I40" s="10"/>
      <c r="L40" s="10"/>
      <c r="M40" s="10"/>
      <c r="P40" s="10"/>
      <c r="Q40" s="10"/>
      <c r="T40" s="10"/>
      <c r="U40" s="10"/>
      <c r="X40" s="10"/>
      <c r="Y40" s="10"/>
      <c r="AB40" s="10"/>
      <c r="AC40" s="10"/>
      <c r="AF40" s="10"/>
      <c r="AG40" s="10"/>
      <c r="AJ40" s="10"/>
      <c r="AK40" s="10"/>
      <c r="AN40" s="10"/>
      <c r="AO40" s="10"/>
      <c r="AR40" s="10"/>
      <c r="AS40" s="10"/>
      <c r="AV40" s="10"/>
      <c r="AW40" s="10"/>
      <c r="AZ40" s="10"/>
      <c r="BA40" s="10"/>
      <c r="BD40" s="10"/>
      <c r="BE40" s="10"/>
      <c r="BH40" s="10"/>
      <c r="BI40" s="10"/>
      <c r="BL40" s="10"/>
      <c r="BM40" s="10"/>
      <c r="BN40">
        <f>SUMIFS($D40:$BM40,$D$9:$BM$9,$H$1)</f>
        <v>0</v>
      </c>
      <c r="BO40">
        <f>SUMIFS($D40:$BM40,$D$9:$BM$9,$H$2)</f>
        <v>0</v>
      </c>
      <c r="BP40">
        <f>BN40-BO40</f>
        <v>0</v>
      </c>
    </row>
    <row r="41" spans="2:68">
      <c r="B41" s="6" t="s">
        <v>71</v>
      </c>
      <c r="C41" s="6" t="s">
        <v>72</v>
      </c>
      <c r="D41" s="10"/>
      <c r="E41" s="10"/>
      <c r="H41" s="10"/>
      <c r="I41" s="10"/>
      <c r="L41" s="10"/>
      <c r="M41" s="10"/>
      <c r="P41" s="10"/>
      <c r="Q41" s="10"/>
      <c r="T41" s="10"/>
      <c r="U41" s="10"/>
      <c r="X41" s="10"/>
      <c r="Y41" s="10"/>
      <c r="AB41" s="10"/>
      <c r="AC41" s="10"/>
      <c r="AF41" s="10"/>
      <c r="AG41" s="10"/>
      <c r="AJ41" s="10"/>
      <c r="AK41" s="10"/>
      <c r="AN41" s="10"/>
      <c r="AO41" s="10"/>
      <c r="AR41" s="10"/>
      <c r="AS41" s="10"/>
      <c r="AV41" s="10"/>
      <c r="AW41" s="10"/>
      <c r="AZ41" s="10"/>
      <c r="BA41" s="10"/>
      <c r="BD41" s="10"/>
      <c r="BE41" s="10"/>
      <c r="BH41" s="10"/>
      <c r="BI41" s="10"/>
      <c r="BL41" s="10"/>
      <c r="BM41" s="10"/>
      <c r="BN41">
        <f>SUMIFS($D41:$BM41,$D$9:$BM$9,$H$1)</f>
        <v>0</v>
      </c>
      <c r="BO41">
        <f>SUMIFS($D41:$BM41,$D$9:$BM$9,$H$2)</f>
        <v>0</v>
      </c>
      <c r="BP41">
        <f>BN41-BO41</f>
        <v>0</v>
      </c>
    </row>
    <row r="42" spans="2:68">
      <c r="B42" s="6" t="s">
        <v>73</v>
      </c>
      <c r="C42" s="6" t="s">
        <v>74</v>
      </c>
      <c r="D42" s="10"/>
      <c r="E42" s="10"/>
      <c r="H42" s="10"/>
      <c r="I42" s="10"/>
      <c r="L42" s="10"/>
      <c r="M42" s="10"/>
      <c r="P42" s="10"/>
      <c r="Q42" s="10"/>
      <c r="T42" s="10"/>
      <c r="U42" s="10"/>
      <c r="X42" s="10"/>
      <c r="Y42" s="10"/>
      <c r="AB42" s="10"/>
      <c r="AC42" s="10"/>
      <c r="AF42" s="10"/>
      <c r="AG42" s="10"/>
      <c r="AJ42" s="10"/>
      <c r="AK42" s="10"/>
      <c r="AN42" s="10"/>
      <c r="AO42" s="10"/>
      <c r="AR42" s="10"/>
      <c r="AS42" s="10"/>
      <c r="AV42" s="10"/>
      <c r="AW42" s="10"/>
      <c r="AZ42" s="10"/>
      <c r="BA42" s="10"/>
      <c r="BD42" s="10"/>
      <c r="BE42" s="10"/>
      <c r="BH42" s="10"/>
      <c r="BI42" s="10"/>
      <c r="BL42" s="10"/>
      <c r="BM42" s="10"/>
      <c r="BN42">
        <f>SUMIFS($D42:$BM42,$D$9:$BM$9,$H$1)</f>
        <v>0</v>
      </c>
      <c r="BO42">
        <f>SUMIFS($D42:$BM42,$D$9:$BM$9,$H$2)</f>
        <v>0</v>
      </c>
      <c r="BP42">
        <f>BN42-BO42</f>
        <v>0</v>
      </c>
    </row>
    <row r="43" spans="2:68">
      <c r="B43" s="6" t="s">
        <v>75</v>
      </c>
      <c r="C43" s="6" t="s">
        <v>76</v>
      </c>
      <c r="D43" s="10"/>
      <c r="E43" s="10"/>
      <c r="H43" s="10"/>
      <c r="I43" s="10"/>
      <c r="L43" s="10"/>
      <c r="M43" s="10"/>
      <c r="P43" s="10"/>
      <c r="Q43" s="10"/>
      <c r="T43" s="10"/>
      <c r="U43" s="10"/>
      <c r="X43" s="10"/>
      <c r="Y43" s="10"/>
      <c r="AB43" s="10"/>
      <c r="AC43" s="10"/>
      <c r="AF43" s="10"/>
      <c r="AG43" s="10"/>
      <c r="AJ43" s="10"/>
      <c r="AK43" s="10"/>
      <c r="AN43" s="10"/>
      <c r="AO43" s="10"/>
      <c r="AR43" s="10"/>
      <c r="AS43" s="10"/>
      <c r="AV43" s="10"/>
      <c r="AW43" s="10"/>
      <c r="AZ43" s="10"/>
      <c r="BA43" s="10"/>
      <c r="BD43" s="10"/>
      <c r="BE43" s="10"/>
      <c r="BH43" s="10"/>
      <c r="BI43" s="10"/>
      <c r="BL43" s="10"/>
      <c r="BM43" s="10"/>
      <c r="BN43">
        <f>SUMIFS($D43:$BM43,$D$9:$BM$9,$H$1)</f>
        <v>0</v>
      </c>
      <c r="BO43">
        <f>SUMIFS($D43:$BM43,$D$9:$BM$9,$H$2)</f>
        <v>0</v>
      </c>
      <c r="BP43">
        <f>BN43-BO43</f>
        <v>0</v>
      </c>
    </row>
    <row r="44" spans="2:68">
      <c r="B44" s="6" t="s">
        <v>77</v>
      </c>
      <c r="C44" s="6" t="s">
        <v>78</v>
      </c>
      <c r="D44" s="10"/>
      <c r="E44" s="10"/>
      <c r="H44" s="10"/>
      <c r="I44" s="10"/>
      <c r="L44" s="10"/>
      <c r="M44" s="10"/>
      <c r="P44" s="10"/>
      <c r="Q44" s="10"/>
      <c r="T44" s="10"/>
      <c r="U44" s="10"/>
      <c r="X44" s="10"/>
      <c r="Y44" s="10"/>
      <c r="AB44" s="10"/>
      <c r="AC44" s="10"/>
      <c r="AF44" s="10"/>
      <c r="AG44" s="10"/>
      <c r="AJ44" s="10"/>
      <c r="AK44" s="10"/>
      <c r="AN44" s="10"/>
      <c r="AO44" s="10"/>
      <c r="AR44" s="10"/>
      <c r="AS44" s="10"/>
      <c r="AV44" s="10"/>
      <c r="AW44" s="10"/>
      <c r="AZ44" s="10"/>
      <c r="BA44" s="10"/>
      <c r="BD44" s="10"/>
      <c r="BE44" s="10"/>
      <c r="BH44" s="10"/>
      <c r="BI44" s="10"/>
      <c r="BL44" s="10"/>
      <c r="BM44" s="10"/>
      <c r="BN44">
        <f>SUMIFS($D44:$BM44,$D$9:$BM$9,$H$1)</f>
        <v>0</v>
      </c>
      <c r="BO44">
        <f>SUMIFS($D44:$BM44,$D$9:$BM$9,$H$2)</f>
        <v>0</v>
      </c>
      <c r="BP44">
        <f>BN44-BO44</f>
        <v>0</v>
      </c>
    </row>
    <row r="45" spans="2:68">
      <c r="B45" s="6" t="s">
        <v>79</v>
      </c>
      <c r="C45" s="6" t="s">
        <v>78</v>
      </c>
      <c r="D45" s="10"/>
      <c r="E45" s="10"/>
      <c r="H45" s="10"/>
      <c r="I45" s="10"/>
      <c r="L45" s="10"/>
      <c r="M45" s="10"/>
      <c r="P45" s="10"/>
      <c r="Q45" s="10"/>
      <c r="T45" s="10"/>
      <c r="U45" s="10"/>
      <c r="X45" s="10"/>
      <c r="Y45" s="10"/>
      <c r="AB45" s="10"/>
      <c r="AC45" s="10"/>
      <c r="AF45" s="10"/>
      <c r="AG45" s="10"/>
      <c r="AJ45" s="10"/>
      <c r="AK45" s="10"/>
      <c r="AN45" s="10"/>
      <c r="AO45" s="10"/>
      <c r="AR45" s="10"/>
      <c r="AS45" s="10"/>
      <c r="AV45" s="10"/>
      <c r="AW45" s="10"/>
      <c r="AZ45" s="10"/>
      <c r="BA45" s="10"/>
      <c r="BD45" s="10"/>
      <c r="BE45" s="10"/>
      <c r="BH45" s="10"/>
      <c r="BI45" s="10"/>
      <c r="BL45" s="10"/>
      <c r="BM45" s="10"/>
      <c r="BN45">
        <f>SUMIFS($D45:$BM45,$D$9:$BM$9,$H$1)</f>
        <v>0</v>
      </c>
      <c r="BO45">
        <f>SUMIFS($D45:$BM45,$D$9:$BM$9,$H$2)</f>
        <v>0</v>
      </c>
      <c r="BP45">
        <f>BN45-BO45</f>
        <v>0</v>
      </c>
    </row>
    <row r="46" spans="2:68">
      <c r="B46" s="6" t="s">
        <v>80</v>
      </c>
      <c r="C46" s="6" t="s">
        <v>81</v>
      </c>
      <c r="D46" s="10"/>
      <c r="E46" s="10"/>
      <c r="H46" s="10"/>
      <c r="I46" s="10"/>
      <c r="L46" s="10"/>
      <c r="M46" s="10"/>
      <c r="P46" s="10"/>
      <c r="Q46" s="10"/>
      <c r="T46" s="10"/>
      <c r="U46" s="10"/>
      <c r="X46" s="10"/>
      <c r="Y46" s="10"/>
      <c r="AB46" s="10"/>
      <c r="AC46" s="10"/>
      <c r="AF46" s="10"/>
      <c r="AG46" s="10"/>
      <c r="AJ46" s="10"/>
      <c r="AK46" s="10"/>
      <c r="AN46" s="10"/>
      <c r="AO46" s="10"/>
      <c r="AR46" s="10"/>
      <c r="AS46" s="10"/>
      <c r="AV46" s="10"/>
      <c r="AW46" s="10"/>
      <c r="AZ46" s="10"/>
      <c r="BA46" s="10"/>
      <c r="BD46" s="10"/>
      <c r="BE46" s="10"/>
      <c r="BH46" s="10"/>
      <c r="BI46" s="10"/>
      <c r="BL46" s="10"/>
      <c r="BM46" s="10"/>
      <c r="BN46">
        <f>SUMIFS($D46:$BM46,$D$9:$BM$9,$H$1)</f>
        <v>0</v>
      </c>
      <c r="BO46">
        <f>SUMIFS($D46:$BM46,$D$9:$BM$9,$H$2)</f>
        <v>0</v>
      </c>
      <c r="BP46">
        <f>BN46-BO46</f>
        <v>0</v>
      </c>
    </row>
    <row r="47" spans="2:68">
      <c r="B47" s="6" t="s">
        <v>82</v>
      </c>
      <c r="C47" s="6" t="s">
        <v>81</v>
      </c>
      <c r="D47" s="10"/>
      <c r="E47" s="10"/>
      <c r="H47" s="10"/>
      <c r="I47" s="10"/>
      <c r="L47" s="10"/>
      <c r="M47" s="10"/>
      <c r="P47" s="10"/>
      <c r="Q47" s="10"/>
      <c r="T47" s="10"/>
      <c r="U47" s="10"/>
      <c r="X47" s="10"/>
      <c r="Y47" s="10"/>
      <c r="AB47" s="10"/>
      <c r="AC47" s="10"/>
      <c r="AF47" s="10"/>
      <c r="AG47" s="10"/>
      <c r="AJ47" s="10"/>
      <c r="AK47" s="10"/>
      <c r="AN47" s="10"/>
      <c r="AO47" s="10"/>
      <c r="AR47" s="10"/>
      <c r="AS47" s="10"/>
      <c r="AV47" s="10"/>
      <c r="AW47" s="10"/>
      <c r="AZ47" s="10"/>
      <c r="BA47" s="10"/>
      <c r="BD47" s="10"/>
      <c r="BE47" s="10"/>
      <c r="BH47" s="10"/>
      <c r="BI47" s="10"/>
      <c r="BL47" s="10"/>
      <c r="BM47" s="10"/>
      <c r="BN47">
        <f>SUMIFS($D47:$BM47,$D$9:$BM$9,$H$1)</f>
        <v>0</v>
      </c>
      <c r="BO47">
        <f>SUMIFS($D47:$BM47,$D$9:$BM$9,$H$2)</f>
        <v>0</v>
      </c>
      <c r="BP47">
        <f>BN47-BO47</f>
        <v>0</v>
      </c>
    </row>
    <row r="48" spans="2:68">
      <c r="B48" s="6" t="s">
        <v>83</v>
      </c>
      <c r="C48" s="6" t="s">
        <v>84</v>
      </c>
      <c r="D48" s="15"/>
      <c r="E48" s="15"/>
      <c r="F48" s="9"/>
      <c r="G48" s="9"/>
      <c r="H48" s="15"/>
      <c r="I48" s="15"/>
      <c r="J48" s="9"/>
      <c r="K48" s="9"/>
      <c r="L48" s="15"/>
      <c r="M48" s="15"/>
      <c r="N48" s="9"/>
      <c r="O48" s="9"/>
      <c r="P48" s="15"/>
      <c r="Q48" s="15"/>
      <c r="R48" s="9"/>
      <c r="S48" s="9"/>
      <c r="T48" s="15"/>
      <c r="U48" s="15"/>
      <c r="V48" s="9"/>
      <c r="W48" s="9"/>
      <c r="X48" s="15"/>
      <c r="Y48" s="15"/>
      <c r="Z48" s="9"/>
      <c r="AA48" s="9"/>
      <c r="AB48" s="15"/>
      <c r="AC48" s="15"/>
      <c r="AD48" s="9"/>
      <c r="AE48" s="9"/>
      <c r="AF48" s="15"/>
      <c r="AG48" s="15"/>
      <c r="AH48" s="9"/>
      <c r="AI48" s="9"/>
      <c r="AJ48" s="15"/>
      <c r="AK48" s="15"/>
      <c r="AL48" s="9"/>
      <c r="AM48" s="9"/>
      <c r="AN48" s="15"/>
      <c r="AO48" s="15"/>
      <c r="AP48" s="9"/>
      <c r="AQ48" s="9"/>
      <c r="AR48" s="15"/>
      <c r="AS48" s="15"/>
      <c r="AT48" s="9"/>
      <c r="AU48" s="9"/>
      <c r="AV48" s="15"/>
      <c r="AW48" s="15"/>
      <c r="AX48" s="9"/>
      <c r="AY48" s="9"/>
      <c r="AZ48" s="15"/>
      <c r="BA48" s="15"/>
      <c r="BB48" s="9"/>
      <c r="BC48" s="9"/>
      <c r="BD48" s="15"/>
      <c r="BE48" s="15"/>
      <c r="BF48" s="9"/>
      <c r="BG48" s="9"/>
      <c r="BH48" s="15"/>
      <c r="BI48" s="15"/>
      <c r="BJ48" s="9"/>
      <c r="BK48" s="9"/>
      <c r="BL48" s="15"/>
      <c r="BM48" s="15"/>
      <c r="BN48">
        <f>SUMIFS($D48:$BM48,$D$9:$BM$9,$H$1)</f>
        <v>0</v>
      </c>
      <c r="BO48">
        <f>SUMIFS($D48:$BM48,$D$9:$BM$9,$H$2)</f>
        <v>0</v>
      </c>
      <c r="BP48">
        <f>BN48-BO48</f>
        <v>0</v>
      </c>
    </row>
    <row r="49" spans="2:68">
      <c r="B49" s="6" t="s">
        <v>85</v>
      </c>
      <c r="C49" s="6" t="s">
        <v>86</v>
      </c>
      <c r="D49" s="10"/>
      <c r="E49" s="10"/>
      <c r="H49" s="10"/>
      <c r="I49" s="10"/>
      <c r="L49" s="10"/>
      <c r="M49" s="10"/>
      <c r="P49" s="10"/>
      <c r="Q49" s="10"/>
      <c r="T49" s="10"/>
      <c r="U49" s="10"/>
      <c r="X49" s="10"/>
      <c r="Y49" s="10"/>
      <c r="AB49" s="10"/>
      <c r="AC49" s="10"/>
      <c r="AF49" s="10"/>
      <c r="AG49" s="10"/>
      <c r="AJ49" s="10"/>
      <c r="AK49" s="10"/>
      <c r="AN49" s="10"/>
      <c r="AO49" s="10"/>
      <c r="AR49" s="10"/>
      <c r="AS49" s="10"/>
      <c r="AV49" s="10"/>
      <c r="AW49" s="10"/>
      <c r="AZ49" s="10"/>
      <c r="BA49" s="10"/>
      <c r="BD49" s="10"/>
      <c r="BE49" s="10"/>
      <c r="BH49" s="10"/>
      <c r="BI49" s="10"/>
      <c r="BL49" s="10"/>
      <c r="BM49" s="10"/>
      <c r="BN49">
        <f>SUMIFS($D49:$BM49,$D$9:$BM$9,$H$1)</f>
        <v>0</v>
      </c>
      <c r="BO49">
        <f>SUMIFS($D49:$BM49,$D$9:$BM$9,$H$2)</f>
        <v>0</v>
      </c>
      <c r="BP49">
        <f>BN49-BO49</f>
        <v>0</v>
      </c>
    </row>
    <row r="50" spans="2:68">
      <c r="B50" s="6" t="s">
        <v>87</v>
      </c>
      <c r="C50" s="6" t="s">
        <v>88</v>
      </c>
      <c r="BN50">
        <f>SUMIFS($D50:$BM50,$D$9:$BM$9,$H$1)</f>
        <v>0</v>
      </c>
      <c r="BO50">
        <f>SUMIFS($D50:$BM50,$D$9:$BM$9,$H$2)</f>
        <v>0</v>
      </c>
      <c r="BP50">
        <f>BN50-BO50</f>
        <v>0</v>
      </c>
    </row>
    <row r="51" spans="2:68">
      <c r="B51" s="6" t="s">
        <v>89</v>
      </c>
      <c r="C51" s="6" t="s">
        <v>88</v>
      </c>
      <c r="BN51">
        <f>SUMIFS($D51:$BM51,$D$9:$BM$9,$H$1)</f>
        <v>0</v>
      </c>
      <c r="BO51">
        <f>SUMIFS($D51:$BM51,$D$9:$BM$9,$H$2)</f>
        <v>0</v>
      </c>
      <c r="BP51">
        <f>BN51-BO51</f>
        <v>0</v>
      </c>
    </row>
    <row r="52" spans="2:68">
      <c r="B52" s="6" t="s">
        <v>90</v>
      </c>
      <c r="C52" s="6" t="s">
        <v>91</v>
      </c>
      <c r="BN52">
        <f>SUMIFS($D52:$BM52,$D$9:$BM$9,$H$1)</f>
        <v>0</v>
      </c>
      <c r="BO52">
        <f>SUMIFS($D52:$BM52,$D$9:$BM$9,$H$2)</f>
        <v>0</v>
      </c>
      <c r="BP52">
        <f>BN52-BO52</f>
        <v>0</v>
      </c>
    </row>
    <row r="53" spans="2:68">
      <c r="B53" s="6" t="s">
        <v>92</v>
      </c>
      <c r="C53" s="6" t="s">
        <v>91</v>
      </c>
      <c r="BN53">
        <f>SUMIFS($D53:$BM53,$D$9:$BM$9,$H$1)</f>
        <v>0</v>
      </c>
      <c r="BO53">
        <f>SUMIFS($D53:$BM53,$D$9:$BM$9,$H$2)</f>
        <v>0</v>
      </c>
      <c r="BP53">
        <f>BN53-BO53</f>
        <v>0</v>
      </c>
    </row>
    <row r="54" spans="2:68">
      <c r="B54" s="6" t="s">
        <v>93</v>
      </c>
      <c r="C54" s="6" t="s">
        <v>94</v>
      </c>
      <c r="BN54">
        <f>SUMIFS($D54:$BM54,$D$9:$BM$9,$H$1)</f>
        <v>0</v>
      </c>
      <c r="BO54">
        <f>SUMIFS($D54:$BM54,$D$9:$BM$9,$H$2)</f>
        <v>0</v>
      </c>
      <c r="BP54">
        <f>BN54-BO54</f>
        <v>0</v>
      </c>
    </row>
    <row r="55" spans="2:68">
      <c r="B55" s="6" t="s">
        <v>95</v>
      </c>
      <c r="C55" s="6" t="s">
        <v>94</v>
      </c>
      <c r="BN55">
        <f>SUMIFS($D55:$BM55,$D$9:$BM$9,$H$1)</f>
        <v>0</v>
      </c>
      <c r="BO55">
        <f>SUMIFS($D55:$BM55,$D$9:$BM$9,$H$2)</f>
        <v>0</v>
      </c>
      <c r="BP55">
        <f>BN55-BO55</f>
        <v>0</v>
      </c>
    </row>
    <row r="56" spans="2:68">
      <c r="B56" s="6" t="s">
        <v>96</v>
      </c>
      <c r="C56" s="6" t="s">
        <v>97</v>
      </c>
      <c r="BN56">
        <f>SUMIFS($D56:$BM56,$D$9:$BM$9,$H$1)</f>
        <v>0</v>
      </c>
      <c r="BO56">
        <f>SUMIFS($D56:$BM56,$D$9:$BM$9,$H$2)</f>
        <v>0</v>
      </c>
      <c r="BP56">
        <f>BN56-BO56</f>
        <v>0</v>
      </c>
    </row>
    <row r="57" spans="2:68">
      <c r="B57" s="6" t="s">
        <v>98</v>
      </c>
      <c r="C57" s="6" t="s">
        <v>99</v>
      </c>
      <c r="BN57">
        <f>SUMIFS($D57:$BM57,$D$9:$BM$9,$H$1)</f>
        <v>0</v>
      </c>
      <c r="BO57">
        <f>SUMIFS($D57:$BM57,$D$9:$BM$9,$H$2)</f>
        <v>0</v>
      </c>
      <c r="BP57">
        <f>BN57-BO57</f>
        <v>0</v>
      </c>
    </row>
  </sheetData>
  <sortState xmlns:xlrd2="http://schemas.microsoft.com/office/spreadsheetml/2017/richdata2" ref="B10:BP57">
    <sortCondition descending="1" ref="BP10:BP57"/>
  </sortState>
  <mergeCells count="93">
    <mergeCell ref="AP7:AQ7"/>
    <mergeCell ref="AR7:AS7"/>
    <mergeCell ref="AT7:AU7"/>
    <mergeCell ref="AV7:AW7"/>
    <mergeCell ref="BL7:BM7"/>
    <mergeCell ref="AZ7:BA7"/>
    <mergeCell ref="BB7:BC7"/>
    <mergeCell ref="BD7:BE7"/>
    <mergeCell ref="BF7:BG7"/>
    <mergeCell ref="BH7:BI7"/>
    <mergeCell ref="BJ7:BK7"/>
    <mergeCell ref="P7:Q7"/>
    <mergeCell ref="R7:S7"/>
    <mergeCell ref="T7:U7"/>
    <mergeCell ref="V7:W7"/>
    <mergeCell ref="X7:Y7"/>
    <mergeCell ref="Z7:AA7"/>
    <mergeCell ref="BF6:BG6"/>
    <mergeCell ref="BH6:BI6"/>
    <mergeCell ref="BJ6:BK6"/>
    <mergeCell ref="BL6:BM6"/>
    <mergeCell ref="BB6:BC6"/>
    <mergeCell ref="BD6:BE6"/>
    <mergeCell ref="AF6:AG6"/>
    <mergeCell ref="AX7:AY7"/>
    <mergeCell ref="AB7:AC7"/>
    <mergeCell ref="AD7:AE7"/>
    <mergeCell ref="AF7:AG7"/>
    <mergeCell ref="AH7:AI7"/>
    <mergeCell ref="AJ7:AK7"/>
    <mergeCell ref="AL7:AM7"/>
    <mergeCell ref="AN7:AO7"/>
    <mergeCell ref="D7:E7"/>
    <mergeCell ref="F7:G7"/>
    <mergeCell ref="H7:I7"/>
    <mergeCell ref="J7:K7"/>
    <mergeCell ref="L7:M7"/>
    <mergeCell ref="N7:O7"/>
    <mergeCell ref="AT6:AU6"/>
    <mergeCell ref="AV6:AW6"/>
    <mergeCell ref="AX6:AY6"/>
    <mergeCell ref="AZ6:BA6"/>
    <mergeCell ref="AH6:AI6"/>
    <mergeCell ref="AJ6:AK6"/>
    <mergeCell ref="AL6:AM6"/>
    <mergeCell ref="AN6:AO6"/>
    <mergeCell ref="AP6:AQ6"/>
    <mergeCell ref="AR6:AS6"/>
    <mergeCell ref="V6:W6"/>
    <mergeCell ref="X6:Y6"/>
    <mergeCell ref="Z6:AA6"/>
    <mergeCell ref="AB6:AC6"/>
    <mergeCell ref="AD6:AE6"/>
    <mergeCell ref="BL5:BM5"/>
    <mergeCell ref="D6:E6"/>
    <mergeCell ref="F6:G6"/>
    <mergeCell ref="H6:I6"/>
    <mergeCell ref="J6:K6"/>
    <mergeCell ref="L6:M6"/>
    <mergeCell ref="N6:O6"/>
    <mergeCell ref="P6:Q6"/>
    <mergeCell ref="R6:S6"/>
    <mergeCell ref="T6:U6"/>
    <mergeCell ref="AZ5:BA5"/>
    <mergeCell ref="BB5:BC5"/>
    <mergeCell ref="BD5:BE5"/>
    <mergeCell ref="BF5:BG5"/>
    <mergeCell ref="BH5:BI5"/>
    <mergeCell ref="BJ5:BK5"/>
    <mergeCell ref="AX5:AY5"/>
    <mergeCell ref="AB5:AC5"/>
    <mergeCell ref="AD5:AE5"/>
    <mergeCell ref="AF5:AG5"/>
    <mergeCell ref="AH5:AI5"/>
    <mergeCell ref="AJ5:AK5"/>
    <mergeCell ref="AL5:AM5"/>
    <mergeCell ref="AN5:AO5"/>
    <mergeCell ref="AP5:AQ5"/>
    <mergeCell ref="AR5:AS5"/>
    <mergeCell ref="AT5:AU5"/>
    <mergeCell ref="AV5:AW5"/>
    <mergeCell ref="Z5:AA5"/>
    <mergeCell ref="D5:E5"/>
    <mergeCell ref="F5:G5"/>
    <mergeCell ref="H5:I5"/>
    <mergeCell ref="J5:K5"/>
    <mergeCell ref="L5:M5"/>
    <mergeCell ref="N5:O5"/>
    <mergeCell ref="P5:Q5"/>
    <mergeCell ref="R5:S5"/>
    <mergeCell ref="T5:U5"/>
    <mergeCell ref="V5:W5"/>
    <mergeCell ref="X5:Y5"/>
  </mergeCells>
  <conditionalFormatting sqref="A9:XFD9">
    <cfRule type="cellIs" dxfId="20" priority="3" operator="equal">
      <formula>"J"</formula>
    </cfRule>
    <cfRule type="cellIs" dxfId="19" priority="4" operator="equal">
      <formula>"A"</formula>
    </cfRule>
  </conditionalFormatting>
  <conditionalFormatting sqref="B10:BP60">
    <cfRule type="expression" dxfId="18" priority="2">
      <formula>MOD(ROW(),2)</formula>
    </cfRule>
  </conditionalFormatting>
  <conditionalFormatting sqref="BP10:BP57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{69C05E4C-6EBC-4F62-B8F3-FFAB99B56ED8}</x14:id>
        </ext>
      </extLst>
    </cfRule>
  </conditionalFormatting>
  <dataValidations count="1">
    <dataValidation type="whole" allowBlank="1" showInputMessage="1" showErrorMessage="1" error="Attention: Entier compris entre 0 et 12 !" sqref="D10:BM49" xr:uid="{758E4151-7F42-4415-8E30-70B5D5EFAE88}">
      <formula1>0</formula1>
      <formula2>12</formula2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130" orientation="portrait" r:id="rId1"/>
  <headerFooter>
    <oddFooter>&amp;L&amp;D - &amp;T&amp;RMois de &amp;A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C05E4C-6EBC-4F62-B8F3-FFAB99B56E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BP10:BP57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7D768-9897-46E0-9515-447233E41724}">
  <sheetPr codeName="Feuil9"/>
  <dimension ref="B1:BQ57"/>
  <sheetViews>
    <sheetView showGridLines="0" showRowColHeaders="0" zoomScaleNormal="100" workbookViewId="0">
      <pane xSplit="3" ySplit="9" topLeftCell="AI10" activePane="bottomRight" state="frozen"/>
      <selection pane="bottomRight" activeCell="BN6" sqref="BN6:BP6"/>
      <selection pane="bottomLeft" activeCell="CC17" sqref="CC17"/>
      <selection pane="topRight" activeCell="CC17" sqref="CC17"/>
    </sheetView>
  </sheetViews>
  <sheetFormatPr defaultColWidth="11.42578125" defaultRowHeight="15"/>
  <cols>
    <col min="1" max="1" width="2.42578125" customWidth="1"/>
    <col min="2" max="2" width="32.140625" style="6" customWidth="1"/>
    <col min="3" max="3" width="22.42578125" style="6" customWidth="1"/>
    <col min="4" max="65" width="3.7109375" customWidth="1"/>
    <col min="66" max="66" width="4.42578125" bestFit="1" customWidth="1"/>
    <col min="67" max="67" width="4.28515625" customWidth="1"/>
    <col min="68" max="68" width="7.42578125" bestFit="1" customWidth="1"/>
    <col min="69" max="69" width="7.7109375" customWidth="1"/>
    <col min="70" max="105" width="3.7109375" customWidth="1"/>
  </cols>
  <sheetData>
    <row r="1" spans="2:69">
      <c r="H1" s="4" t="s">
        <v>0</v>
      </c>
      <c r="I1" t="s">
        <v>1</v>
      </c>
      <c r="N1" t="s">
        <v>2</v>
      </c>
      <c r="O1" t="s">
        <v>3</v>
      </c>
    </row>
    <row r="2" spans="2:69">
      <c r="H2" s="5" t="s">
        <v>4</v>
      </c>
      <c r="I2" t="s">
        <v>5</v>
      </c>
      <c r="N2" t="s">
        <v>6</v>
      </c>
      <c r="O2" t="s">
        <v>7</v>
      </c>
    </row>
    <row r="3" spans="2:69">
      <c r="N3" t="s">
        <v>8</v>
      </c>
      <c r="O3" t="s">
        <v>9</v>
      </c>
    </row>
    <row r="4" spans="2:69">
      <c r="B4" s="12"/>
      <c r="C4" s="12"/>
    </row>
    <row r="5" spans="2:69" s="2" customFormat="1">
      <c r="B5" s="13"/>
      <c r="C5" s="13"/>
      <c r="D5" s="45">
        <v>1</v>
      </c>
      <c r="E5" s="45"/>
      <c r="F5" s="45">
        <v>2</v>
      </c>
      <c r="G5" s="45"/>
      <c r="H5" s="45">
        <v>3</v>
      </c>
      <c r="I5" s="45"/>
      <c r="J5" s="45">
        <v>4</v>
      </c>
      <c r="K5" s="45"/>
      <c r="L5" s="45">
        <v>5</v>
      </c>
      <c r="M5" s="45"/>
      <c r="N5" s="45">
        <v>6</v>
      </c>
      <c r="O5" s="45"/>
      <c r="P5" s="45">
        <v>7</v>
      </c>
      <c r="Q5" s="45"/>
      <c r="R5" s="45">
        <v>8</v>
      </c>
      <c r="S5" s="45"/>
      <c r="T5" s="45">
        <v>9</v>
      </c>
      <c r="U5" s="45"/>
      <c r="V5" s="45">
        <v>10</v>
      </c>
      <c r="W5" s="45"/>
      <c r="X5" s="45">
        <v>11</v>
      </c>
      <c r="Y5" s="45"/>
      <c r="Z5" s="45">
        <v>12</v>
      </c>
      <c r="AA5" s="45"/>
      <c r="AB5" s="45">
        <v>13</v>
      </c>
      <c r="AC5" s="45"/>
      <c r="AD5" s="45">
        <v>14</v>
      </c>
      <c r="AE5" s="45"/>
      <c r="AF5" s="45">
        <v>15</v>
      </c>
      <c r="AG5" s="45"/>
      <c r="AH5" s="45">
        <v>16</v>
      </c>
      <c r="AI5" s="45"/>
      <c r="AJ5" s="45">
        <v>17</v>
      </c>
      <c r="AK5" s="45"/>
      <c r="AL5" s="45">
        <v>18</v>
      </c>
      <c r="AM5" s="45"/>
      <c r="AN5" s="45">
        <v>19</v>
      </c>
      <c r="AO5" s="45"/>
      <c r="AP5" s="45">
        <v>20</v>
      </c>
      <c r="AQ5" s="45"/>
      <c r="AR5" s="45">
        <v>21</v>
      </c>
      <c r="AS5" s="45"/>
      <c r="AT5" s="45">
        <v>22</v>
      </c>
      <c r="AU5" s="45"/>
      <c r="AV5" s="45">
        <v>23</v>
      </c>
      <c r="AW5" s="45"/>
      <c r="AX5" s="45">
        <v>24</v>
      </c>
      <c r="AY5" s="45"/>
      <c r="AZ5" s="45">
        <v>25</v>
      </c>
      <c r="BA5" s="45"/>
      <c r="BB5" s="45">
        <v>26</v>
      </c>
      <c r="BC5" s="45"/>
      <c r="BD5" s="45">
        <v>27</v>
      </c>
      <c r="BE5" s="45"/>
      <c r="BF5" s="45">
        <v>28</v>
      </c>
      <c r="BG5" s="45"/>
      <c r="BH5" s="45">
        <v>29</v>
      </c>
      <c r="BI5" s="45"/>
      <c r="BJ5" s="45">
        <v>30</v>
      </c>
      <c r="BK5" s="45"/>
      <c r="BL5" s="45">
        <v>31</v>
      </c>
      <c r="BM5" s="45"/>
      <c r="BQ5" s="6" t="s">
        <v>10</v>
      </c>
    </row>
    <row r="6" spans="2:69">
      <c r="D6" s="49" t="str">
        <f t="shared" ref="D6:BL6" si="0">TEXT(WEEKDAY(DATE($BQ$6,7,D$5),1),"jjj")</f>
        <v>mer.</v>
      </c>
      <c r="E6" s="49"/>
      <c r="F6" s="49" t="str">
        <f t="shared" si="0"/>
        <v>jeu.</v>
      </c>
      <c r="G6" s="49"/>
      <c r="H6" s="49" t="str">
        <f t="shared" si="0"/>
        <v>ven.</v>
      </c>
      <c r="I6" s="49"/>
      <c r="J6" s="49" t="str">
        <f t="shared" si="0"/>
        <v>sam.</v>
      </c>
      <c r="K6" s="49"/>
      <c r="L6" s="49" t="str">
        <f t="shared" si="0"/>
        <v>dim.</v>
      </c>
      <c r="M6" s="49"/>
      <c r="N6" s="49" t="str">
        <f t="shared" si="0"/>
        <v>lun.</v>
      </c>
      <c r="O6" s="49"/>
      <c r="P6" s="49" t="str">
        <f t="shared" si="0"/>
        <v>mar.</v>
      </c>
      <c r="Q6" s="49"/>
      <c r="R6" s="49" t="str">
        <f t="shared" si="0"/>
        <v>mer.</v>
      </c>
      <c r="S6" s="49"/>
      <c r="T6" s="49" t="str">
        <f t="shared" si="0"/>
        <v>jeu.</v>
      </c>
      <c r="U6" s="49"/>
      <c r="V6" s="49" t="str">
        <f t="shared" si="0"/>
        <v>ven.</v>
      </c>
      <c r="W6" s="49"/>
      <c r="X6" s="49" t="str">
        <f t="shared" si="0"/>
        <v>sam.</v>
      </c>
      <c r="Y6" s="49"/>
      <c r="Z6" s="49" t="str">
        <f t="shared" si="0"/>
        <v>dim.</v>
      </c>
      <c r="AA6" s="49"/>
      <c r="AB6" s="49" t="str">
        <f t="shared" si="0"/>
        <v>lun.</v>
      </c>
      <c r="AC6" s="49"/>
      <c r="AD6" s="49" t="str">
        <f t="shared" si="0"/>
        <v>mar.</v>
      </c>
      <c r="AE6" s="49"/>
      <c r="AF6" s="49" t="str">
        <f t="shared" si="0"/>
        <v>mer.</v>
      </c>
      <c r="AG6" s="49"/>
      <c r="AH6" s="49" t="str">
        <f t="shared" si="0"/>
        <v>jeu.</v>
      </c>
      <c r="AI6" s="49"/>
      <c r="AJ6" s="49" t="str">
        <f t="shared" si="0"/>
        <v>ven.</v>
      </c>
      <c r="AK6" s="49"/>
      <c r="AL6" s="49" t="str">
        <f t="shared" si="0"/>
        <v>sam.</v>
      </c>
      <c r="AM6" s="49"/>
      <c r="AN6" s="49" t="str">
        <f t="shared" si="0"/>
        <v>dim.</v>
      </c>
      <c r="AO6" s="49"/>
      <c r="AP6" s="49" t="str">
        <f t="shared" si="0"/>
        <v>lun.</v>
      </c>
      <c r="AQ6" s="49"/>
      <c r="AR6" s="49" t="str">
        <f t="shared" si="0"/>
        <v>mar.</v>
      </c>
      <c r="AS6" s="49"/>
      <c r="AT6" s="49" t="str">
        <f t="shared" si="0"/>
        <v>mer.</v>
      </c>
      <c r="AU6" s="49"/>
      <c r="AV6" s="49" t="str">
        <f t="shared" si="0"/>
        <v>jeu.</v>
      </c>
      <c r="AW6" s="49"/>
      <c r="AX6" s="49" t="str">
        <f t="shared" si="0"/>
        <v>ven.</v>
      </c>
      <c r="AY6" s="49"/>
      <c r="AZ6" s="49" t="str">
        <f t="shared" si="0"/>
        <v>sam.</v>
      </c>
      <c r="BA6" s="49"/>
      <c r="BB6" s="49" t="str">
        <f t="shared" si="0"/>
        <v>dim.</v>
      </c>
      <c r="BC6" s="49"/>
      <c r="BD6" s="49" t="str">
        <f t="shared" si="0"/>
        <v>lun.</v>
      </c>
      <c r="BE6" s="49"/>
      <c r="BF6" s="49" t="str">
        <f t="shared" si="0"/>
        <v>mar.</v>
      </c>
      <c r="BG6" s="49"/>
      <c r="BH6" s="49" t="str">
        <f t="shared" si="0"/>
        <v>mer.</v>
      </c>
      <c r="BI6" s="49"/>
      <c r="BJ6" s="49" t="str">
        <f t="shared" si="0"/>
        <v>jeu.</v>
      </c>
      <c r="BK6" s="49"/>
      <c r="BL6" s="49" t="str">
        <f t="shared" si="0"/>
        <v>ven.</v>
      </c>
      <c r="BM6" s="49"/>
      <c r="BN6" s="14" t="str">
        <f>Janvier!BN6</f>
        <v>LIAGE 3</v>
      </c>
      <c r="BO6" s="14"/>
      <c r="BP6" s="14"/>
      <c r="BQ6" s="7">
        <f>Janvier!BQ6</f>
        <v>2020</v>
      </c>
    </row>
    <row r="7" spans="2:69">
      <c r="B7" s="30" t="s">
        <v>110</v>
      </c>
      <c r="C7" s="1"/>
      <c r="D7" s="47">
        <v>1</v>
      </c>
      <c r="E7" s="48"/>
      <c r="F7" s="47">
        <v>2</v>
      </c>
      <c r="G7" s="48"/>
      <c r="H7" s="47">
        <v>3</v>
      </c>
      <c r="I7" s="48"/>
      <c r="J7" s="47">
        <v>4</v>
      </c>
      <c r="K7" s="48"/>
      <c r="L7" s="47">
        <v>5</v>
      </c>
      <c r="M7" s="48"/>
      <c r="N7" s="47">
        <v>6</v>
      </c>
      <c r="O7" s="48"/>
      <c r="P7" s="47">
        <v>7</v>
      </c>
      <c r="Q7" s="48"/>
      <c r="R7" s="47">
        <v>8</v>
      </c>
      <c r="S7" s="48"/>
      <c r="T7" s="47">
        <v>9</v>
      </c>
      <c r="U7" s="48"/>
      <c r="V7" s="47">
        <v>10</v>
      </c>
      <c r="W7" s="48"/>
      <c r="X7" s="47">
        <v>11</v>
      </c>
      <c r="Y7" s="48"/>
      <c r="Z7" s="47">
        <v>12</v>
      </c>
      <c r="AA7" s="48"/>
      <c r="AB7" s="47">
        <v>13</v>
      </c>
      <c r="AC7" s="48"/>
      <c r="AD7" s="47">
        <v>14</v>
      </c>
      <c r="AE7" s="48"/>
      <c r="AF7" s="47">
        <v>15</v>
      </c>
      <c r="AG7" s="48"/>
      <c r="AH7" s="47">
        <v>16</v>
      </c>
      <c r="AI7" s="48"/>
      <c r="AJ7" s="47">
        <v>17</v>
      </c>
      <c r="AK7" s="48"/>
      <c r="AL7" s="47">
        <v>18</v>
      </c>
      <c r="AM7" s="48"/>
      <c r="AN7" s="47">
        <v>19</v>
      </c>
      <c r="AO7" s="48"/>
      <c r="AP7" s="47">
        <v>20</v>
      </c>
      <c r="AQ7" s="48"/>
      <c r="AR7" s="47">
        <v>21</v>
      </c>
      <c r="AS7" s="48"/>
      <c r="AT7" s="47">
        <v>22</v>
      </c>
      <c r="AU7" s="48"/>
      <c r="AV7" s="47">
        <v>23</v>
      </c>
      <c r="AW7" s="48"/>
      <c r="AX7" s="47">
        <v>24</v>
      </c>
      <c r="AY7" s="48"/>
      <c r="AZ7" s="47">
        <v>25</v>
      </c>
      <c r="BA7" s="48"/>
      <c r="BB7" s="47">
        <v>26</v>
      </c>
      <c r="BC7" s="48"/>
      <c r="BD7" s="47">
        <v>27</v>
      </c>
      <c r="BE7" s="48"/>
      <c r="BF7" s="47">
        <v>28</v>
      </c>
      <c r="BG7" s="48"/>
      <c r="BH7" s="47">
        <v>29</v>
      </c>
      <c r="BI7" s="48"/>
      <c r="BJ7" s="47">
        <v>30</v>
      </c>
      <c r="BK7" s="48"/>
      <c r="BL7" s="47">
        <v>31</v>
      </c>
      <c r="BM7" s="48"/>
    </row>
    <row r="8" spans="2:69" s="11" customFormat="1">
      <c r="B8" s="8"/>
      <c r="C8" s="8" t="s">
        <v>111</v>
      </c>
      <c r="D8" s="16"/>
      <c r="E8" s="17"/>
      <c r="F8" s="18"/>
      <c r="G8" s="17"/>
      <c r="H8" s="19"/>
      <c r="I8" s="20"/>
      <c r="J8" s="19"/>
      <c r="K8" s="20"/>
      <c r="L8" s="19"/>
      <c r="M8" s="20"/>
      <c r="N8" s="19"/>
      <c r="O8" s="20"/>
      <c r="P8" s="19"/>
      <c r="Q8" s="20"/>
      <c r="R8" s="19"/>
      <c r="S8" s="20"/>
      <c r="T8" s="19"/>
      <c r="U8" s="20"/>
      <c r="V8" s="19"/>
      <c r="W8" s="20"/>
      <c r="X8" s="19"/>
      <c r="Y8" s="20"/>
      <c r="Z8" s="19"/>
      <c r="AA8" s="20"/>
      <c r="AB8" s="19"/>
      <c r="AC8" s="20"/>
      <c r="AD8" s="19"/>
      <c r="AE8" s="20"/>
      <c r="AF8" s="19"/>
      <c r="AG8" s="20"/>
      <c r="AH8" s="19"/>
      <c r="AI8" s="20"/>
      <c r="AJ8" s="19"/>
      <c r="AK8" s="20"/>
      <c r="AL8" s="19"/>
      <c r="AM8" s="20"/>
      <c r="AN8" s="19"/>
      <c r="AO8" s="20"/>
      <c r="AP8" s="19"/>
      <c r="AQ8" s="20"/>
      <c r="AR8" s="19"/>
      <c r="AS8" s="20"/>
      <c r="AT8" s="19"/>
      <c r="AU8" s="20"/>
      <c r="AV8" s="19"/>
      <c r="AW8" s="20"/>
      <c r="AX8" s="19"/>
      <c r="AY8" s="20"/>
      <c r="AZ8" s="19"/>
      <c r="BA8" s="20"/>
      <c r="BB8" s="19"/>
      <c r="BC8" s="20"/>
      <c r="BD8" s="19"/>
      <c r="BE8" s="20"/>
      <c r="BF8" s="19"/>
      <c r="BG8" s="20"/>
      <c r="BH8" s="19"/>
      <c r="BI8" s="20"/>
      <c r="BJ8" s="19"/>
      <c r="BK8" s="20"/>
      <c r="BL8" s="19"/>
      <c r="BM8" s="21"/>
      <c r="BN8">
        <f>SUM(BN10:BN49)</f>
        <v>71</v>
      </c>
      <c r="BO8">
        <f>SUM(BO10:BO49)</f>
        <v>27</v>
      </c>
      <c r="BP8">
        <f>SUM(BP10:BP49)</f>
        <v>44</v>
      </c>
    </row>
    <row r="9" spans="2:69" s="3" customFormat="1" ht="12" customHeight="1">
      <c r="B9" s="23" t="s">
        <v>14</v>
      </c>
      <c r="C9" s="23" t="s">
        <v>15</v>
      </c>
      <c r="D9" s="24" t="str">
        <f>$H$1</f>
        <v>A</v>
      </c>
      <c r="E9" s="25" t="str">
        <f>$H$2</f>
        <v>J</v>
      </c>
      <c r="F9" s="26" t="str">
        <f>$H$1</f>
        <v>A</v>
      </c>
      <c r="G9" s="27" t="str">
        <f>$H$2</f>
        <v>J</v>
      </c>
      <c r="H9" s="28" t="str">
        <f>$H$1</f>
        <v>A</v>
      </c>
      <c r="I9" s="25" t="str">
        <f>$H$2</f>
        <v>J</v>
      </c>
      <c r="J9" s="26" t="str">
        <f>$H$1</f>
        <v>A</v>
      </c>
      <c r="K9" s="27" t="str">
        <f>$H$2</f>
        <v>J</v>
      </c>
      <c r="L9" s="28" t="str">
        <f>$H$1</f>
        <v>A</v>
      </c>
      <c r="M9" s="25" t="str">
        <f>$H$2</f>
        <v>J</v>
      </c>
      <c r="N9" s="26" t="str">
        <f>$H$1</f>
        <v>A</v>
      </c>
      <c r="O9" s="27" t="str">
        <f>$H$2</f>
        <v>J</v>
      </c>
      <c r="P9" s="28" t="str">
        <f>$H$1</f>
        <v>A</v>
      </c>
      <c r="Q9" s="25" t="str">
        <f>$H$2</f>
        <v>J</v>
      </c>
      <c r="R9" s="26" t="str">
        <f>$H$1</f>
        <v>A</v>
      </c>
      <c r="S9" s="27" t="str">
        <f>$H$2</f>
        <v>J</v>
      </c>
      <c r="T9" s="28" t="str">
        <f>$H$1</f>
        <v>A</v>
      </c>
      <c r="U9" s="25" t="str">
        <f>$H$2</f>
        <v>J</v>
      </c>
      <c r="V9" s="26" t="str">
        <f>$H$1</f>
        <v>A</v>
      </c>
      <c r="W9" s="27" t="str">
        <f>$H$2</f>
        <v>J</v>
      </c>
      <c r="X9" s="28" t="str">
        <f>$H$1</f>
        <v>A</v>
      </c>
      <c r="Y9" s="25" t="str">
        <f>$H$2</f>
        <v>J</v>
      </c>
      <c r="Z9" s="26" t="str">
        <f>$H$1</f>
        <v>A</v>
      </c>
      <c r="AA9" s="27" t="str">
        <f>$H$2</f>
        <v>J</v>
      </c>
      <c r="AB9" s="28" t="str">
        <f>$H$1</f>
        <v>A</v>
      </c>
      <c r="AC9" s="25" t="str">
        <f>$H$2</f>
        <v>J</v>
      </c>
      <c r="AD9" s="26" t="str">
        <f>$H$1</f>
        <v>A</v>
      </c>
      <c r="AE9" s="27" t="str">
        <f>$H$2</f>
        <v>J</v>
      </c>
      <c r="AF9" s="28" t="str">
        <f>$H$1</f>
        <v>A</v>
      </c>
      <c r="AG9" s="25" t="str">
        <f>$H$2</f>
        <v>J</v>
      </c>
      <c r="AH9" s="26" t="str">
        <f>$H$1</f>
        <v>A</v>
      </c>
      <c r="AI9" s="27" t="str">
        <f>$H$2</f>
        <v>J</v>
      </c>
      <c r="AJ9" s="28" t="str">
        <f>$H$1</f>
        <v>A</v>
      </c>
      <c r="AK9" s="25" t="str">
        <f>$H$2</f>
        <v>J</v>
      </c>
      <c r="AL9" s="26" t="str">
        <f>$H$1</f>
        <v>A</v>
      </c>
      <c r="AM9" s="27" t="str">
        <f>$H$2</f>
        <v>J</v>
      </c>
      <c r="AN9" s="28" t="str">
        <f>$H$1</f>
        <v>A</v>
      </c>
      <c r="AO9" s="25" t="str">
        <f>$H$2</f>
        <v>J</v>
      </c>
      <c r="AP9" s="26" t="str">
        <f>$H$1</f>
        <v>A</v>
      </c>
      <c r="AQ9" s="27" t="str">
        <f>$H$2</f>
        <v>J</v>
      </c>
      <c r="AR9" s="28" t="str">
        <f>$H$1</f>
        <v>A</v>
      </c>
      <c r="AS9" s="25" t="str">
        <f>$H$2</f>
        <v>J</v>
      </c>
      <c r="AT9" s="26" t="str">
        <f>$H$1</f>
        <v>A</v>
      </c>
      <c r="AU9" s="27" t="str">
        <f>$H$2</f>
        <v>J</v>
      </c>
      <c r="AV9" s="28" t="str">
        <f>$H$1</f>
        <v>A</v>
      </c>
      <c r="AW9" s="25" t="str">
        <f>$H$2</f>
        <v>J</v>
      </c>
      <c r="AX9" s="26" t="str">
        <f>$H$1</f>
        <v>A</v>
      </c>
      <c r="AY9" s="27" t="str">
        <f>$H$2</f>
        <v>J</v>
      </c>
      <c r="AZ9" s="28" t="str">
        <f>$H$1</f>
        <v>A</v>
      </c>
      <c r="BA9" s="25" t="str">
        <f>$H$2</f>
        <v>J</v>
      </c>
      <c r="BB9" s="26" t="str">
        <f>$H$1</f>
        <v>A</v>
      </c>
      <c r="BC9" s="27" t="str">
        <f>$H$2</f>
        <v>J</v>
      </c>
      <c r="BD9" s="28" t="str">
        <f>$H$1</f>
        <v>A</v>
      </c>
      <c r="BE9" s="25" t="str">
        <f>$H$2</f>
        <v>J</v>
      </c>
      <c r="BF9" s="26" t="str">
        <f>$H$1</f>
        <v>A</v>
      </c>
      <c r="BG9" s="27" t="str">
        <f>$H$2</f>
        <v>J</v>
      </c>
      <c r="BH9" s="28" t="str">
        <f>$H$1</f>
        <v>A</v>
      </c>
      <c r="BI9" s="25" t="str">
        <f>$H$2</f>
        <v>J</v>
      </c>
      <c r="BJ9" s="26" t="str">
        <f>$H$1</f>
        <v>A</v>
      </c>
      <c r="BK9" s="27" t="str">
        <f>$H$2</f>
        <v>J</v>
      </c>
      <c r="BL9" s="28" t="str">
        <f>$H$1</f>
        <v>A</v>
      </c>
      <c r="BM9" s="24" t="str">
        <f>$H$2</f>
        <v>J</v>
      </c>
      <c r="BN9" s="29" t="s">
        <v>2</v>
      </c>
      <c r="BO9" s="29" t="s">
        <v>6</v>
      </c>
      <c r="BP9" s="29" t="s">
        <v>8</v>
      </c>
    </row>
    <row r="10" spans="2:69">
      <c r="B10" s="6" t="s">
        <v>16</v>
      </c>
      <c r="C10" s="6" t="s">
        <v>17</v>
      </c>
      <c r="D10" s="10"/>
      <c r="E10" s="15"/>
      <c r="F10" s="9"/>
      <c r="G10" s="9"/>
      <c r="H10" s="15"/>
      <c r="I10" s="15"/>
      <c r="J10" s="9"/>
      <c r="K10" s="9"/>
      <c r="L10" s="15"/>
      <c r="M10" s="15"/>
      <c r="N10" s="9"/>
      <c r="O10" s="9"/>
      <c r="P10" s="15"/>
      <c r="Q10" s="15"/>
      <c r="R10" s="9"/>
      <c r="S10" s="9"/>
      <c r="T10" s="15"/>
      <c r="U10" s="15"/>
      <c r="V10" s="9"/>
      <c r="W10" s="9"/>
      <c r="X10" s="15"/>
      <c r="Y10" s="15"/>
      <c r="Z10" s="9"/>
      <c r="AA10" s="9"/>
      <c r="AB10" s="15"/>
      <c r="AC10" s="15"/>
      <c r="AD10" s="9"/>
      <c r="AE10" s="9"/>
      <c r="AF10" s="15"/>
      <c r="AG10" s="15"/>
      <c r="AH10" s="9"/>
      <c r="AI10" s="9"/>
      <c r="AJ10" s="15"/>
      <c r="AK10" s="15"/>
      <c r="AL10" s="9"/>
      <c r="AM10" s="9"/>
      <c r="AN10" s="15">
        <v>7</v>
      </c>
      <c r="AO10" s="15"/>
      <c r="AP10" s="9">
        <v>5</v>
      </c>
      <c r="AQ10" s="9">
        <v>1</v>
      </c>
      <c r="AR10" s="15"/>
      <c r="AS10" s="15"/>
      <c r="AT10" s="9"/>
      <c r="AU10" s="9"/>
      <c r="AV10" s="15"/>
      <c r="AW10" s="15"/>
      <c r="AX10" s="9">
        <v>8</v>
      </c>
      <c r="AY10" s="9"/>
      <c r="AZ10" s="15"/>
      <c r="BA10" s="15"/>
      <c r="BB10" s="15"/>
      <c r="BC10" s="9"/>
      <c r="BD10" s="15"/>
      <c r="BE10" s="15"/>
      <c r="BF10" s="15"/>
      <c r="BG10" s="9"/>
      <c r="BH10" s="15"/>
      <c r="BI10" s="15"/>
      <c r="BJ10" s="9"/>
      <c r="BK10" s="9"/>
      <c r="BL10" s="15"/>
      <c r="BM10" s="10"/>
      <c r="BN10">
        <f>SUMIFS($D10:$BM10,$D$9:$BM$9,$H$1)</f>
        <v>20</v>
      </c>
      <c r="BO10">
        <f>SUMIFS($D10:$BM10,$D$9:$BM$9,$H$2)</f>
        <v>1</v>
      </c>
      <c r="BP10">
        <f>BN10-BO10</f>
        <v>19</v>
      </c>
    </row>
    <row r="11" spans="2:69">
      <c r="B11" s="6" t="s">
        <v>18</v>
      </c>
      <c r="C11" s="6" t="s">
        <v>19</v>
      </c>
      <c r="D11" s="10">
        <v>8</v>
      </c>
      <c r="E11" s="15">
        <v>8</v>
      </c>
      <c r="F11" s="9">
        <v>7</v>
      </c>
      <c r="G11" s="9">
        <v>1</v>
      </c>
      <c r="H11" s="15">
        <v>10</v>
      </c>
      <c r="I11" s="15"/>
      <c r="J11" s="15"/>
      <c r="K11" s="9"/>
      <c r="L11" s="15"/>
      <c r="M11" s="15"/>
      <c r="N11" s="9"/>
      <c r="O11" s="9"/>
      <c r="P11" s="15"/>
      <c r="Q11" s="15"/>
      <c r="R11" s="15"/>
      <c r="S11" s="9"/>
      <c r="T11" s="15"/>
      <c r="U11" s="15"/>
      <c r="V11" s="9"/>
      <c r="W11" s="9"/>
      <c r="X11" s="15"/>
      <c r="Y11" s="15"/>
      <c r="Z11" s="9"/>
      <c r="AA11" s="9"/>
      <c r="AB11" s="15"/>
      <c r="AC11" s="15"/>
      <c r="AD11" s="9"/>
      <c r="AE11" s="9"/>
      <c r="AF11" s="15"/>
      <c r="AG11" s="15"/>
      <c r="AH11" s="9"/>
      <c r="AI11" s="9"/>
      <c r="AJ11" s="15"/>
      <c r="AK11" s="15"/>
      <c r="AL11" s="9"/>
      <c r="AM11" s="9"/>
      <c r="AN11" s="15"/>
      <c r="AO11" s="15"/>
      <c r="AP11" s="9"/>
      <c r="AQ11" s="9"/>
      <c r="AR11" s="15"/>
      <c r="AS11" s="15"/>
      <c r="AT11" s="9"/>
      <c r="AU11" s="9"/>
      <c r="AV11" s="15"/>
      <c r="AW11" s="15"/>
      <c r="AX11" s="9"/>
      <c r="AY11" s="9"/>
      <c r="AZ11" s="15"/>
      <c r="BA11" s="15"/>
      <c r="BB11" s="9"/>
      <c r="BC11" s="9"/>
      <c r="BD11" s="15"/>
      <c r="BE11" s="15"/>
      <c r="BF11" s="9"/>
      <c r="BG11" s="9"/>
      <c r="BH11" s="15"/>
      <c r="BI11" s="15"/>
      <c r="BJ11" s="9"/>
      <c r="BK11" s="9"/>
      <c r="BL11" s="15"/>
      <c r="BM11" s="10"/>
      <c r="BN11">
        <f>SUMIFS($D11:$BM11,$D$9:$BM$9,$H$1)</f>
        <v>25</v>
      </c>
      <c r="BO11">
        <f>SUMIFS($D11:$BM11,$D$9:$BM$9,$H$2)</f>
        <v>9</v>
      </c>
      <c r="BP11">
        <f>BN11-BO11</f>
        <v>16</v>
      </c>
    </row>
    <row r="12" spans="2:69">
      <c r="B12" s="6" t="s">
        <v>20</v>
      </c>
      <c r="C12" s="6" t="s">
        <v>21</v>
      </c>
      <c r="D12" s="10">
        <v>8</v>
      </c>
      <c r="E12" s="15">
        <v>2</v>
      </c>
      <c r="F12" s="9"/>
      <c r="G12" s="9"/>
      <c r="H12" s="15"/>
      <c r="I12" s="15">
        <v>6</v>
      </c>
      <c r="J12" s="9">
        <v>3</v>
      </c>
      <c r="K12" s="9"/>
      <c r="L12" s="15"/>
      <c r="M12" s="15"/>
      <c r="N12" s="9"/>
      <c r="O12" s="9"/>
      <c r="P12" s="15"/>
      <c r="Q12" s="15"/>
      <c r="R12" s="9"/>
      <c r="S12" s="9"/>
      <c r="T12" s="15">
        <v>7</v>
      </c>
      <c r="U12" s="15">
        <v>1</v>
      </c>
      <c r="V12" s="9"/>
      <c r="W12" s="9"/>
      <c r="X12" s="15">
        <v>8</v>
      </c>
      <c r="Y12" s="15">
        <v>8</v>
      </c>
      <c r="Z12" s="9"/>
      <c r="AA12" s="9"/>
      <c r="AB12" s="15"/>
      <c r="AC12" s="15"/>
      <c r="AD12" s="9"/>
      <c r="AE12" s="9"/>
      <c r="AF12" s="15"/>
      <c r="AG12" s="15"/>
      <c r="AH12" s="9"/>
      <c r="AI12" s="9"/>
      <c r="AJ12" s="15"/>
      <c r="AK12" s="15"/>
      <c r="AL12" s="9"/>
      <c r="AM12" s="9"/>
      <c r="AN12" s="15"/>
      <c r="AO12" s="15"/>
      <c r="AP12" s="9"/>
      <c r="AQ12" s="9"/>
      <c r="AR12" s="15"/>
      <c r="AS12" s="15"/>
      <c r="AT12" s="9"/>
      <c r="AU12" s="9"/>
      <c r="AV12" s="15"/>
      <c r="AW12" s="15"/>
      <c r="AX12" s="9"/>
      <c r="AY12" s="9"/>
      <c r="AZ12" s="15"/>
      <c r="BA12" s="15"/>
      <c r="BB12" s="9"/>
      <c r="BC12" s="9"/>
      <c r="BD12" s="15"/>
      <c r="BE12" s="15"/>
      <c r="BF12" s="9"/>
      <c r="BG12" s="9"/>
      <c r="BH12" s="15"/>
      <c r="BI12" s="15"/>
      <c r="BJ12" s="9"/>
      <c r="BK12" s="9"/>
      <c r="BL12" s="15"/>
      <c r="BM12" s="10"/>
      <c r="BN12">
        <f>SUMIFS($D12:$BM12,$D$9:$BM$9,$H$1)</f>
        <v>26</v>
      </c>
      <c r="BO12">
        <f>SUMIFS($D12:$BM12,$D$9:$BM$9,$H$2)</f>
        <v>17</v>
      </c>
      <c r="BP12">
        <f>BN12-BO12</f>
        <v>9</v>
      </c>
    </row>
    <row r="13" spans="2:69">
      <c r="B13" s="6" t="s">
        <v>22</v>
      </c>
      <c r="C13" s="6" t="s">
        <v>23</v>
      </c>
      <c r="D13" s="10"/>
      <c r="E13" s="10"/>
      <c r="H13" s="10"/>
      <c r="I13" s="10"/>
      <c r="L13" s="10"/>
      <c r="M13" s="10"/>
      <c r="P13" s="10"/>
      <c r="Q13" s="10"/>
      <c r="T13" s="10"/>
      <c r="U13" s="10"/>
      <c r="X13" s="10"/>
      <c r="Y13" s="10"/>
      <c r="AB13" s="10"/>
      <c r="AC13" s="10"/>
      <c r="AF13" s="10"/>
      <c r="AG13" s="10"/>
      <c r="AJ13" s="10"/>
      <c r="AK13" s="10"/>
      <c r="AN13" s="10"/>
      <c r="AO13" s="10"/>
      <c r="AR13" s="10"/>
      <c r="AS13" s="10"/>
      <c r="AV13" s="10"/>
      <c r="AW13" s="10"/>
      <c r="AZ13" s="10"/>
      <c r="BA13" s="10"/>
      <c r="BD13" s="10"/>
      <c r="BE13" s="10"/>
      <c r="BH13" s="10"/>
      <c r="BI13" s="10"/>
      <c r="BL13" s="10"/>
      <c r="BM13" s="10"/>
      <c r="BN13">
        <f>SUMIFS($D13:$BM13,$D$9:$BM$9,$H$1)</f>
        <v>0</v>
      </c>
      <c r="BO13">
        <f>SUMIFS($D13:$BM13,$D$9:$BM$9,$H$2)</f>
        <v>0</v>
      </c>
      <c r="BP13">
        <f>BN13-BO13</f>
        <v>0</v>
      </c>
    </row>
    <row r="14" spans="2:69">
      <c r="B14" s="6" t="s">
        <v>24</v>
      </c>
      <c r="C14" s="6" t="s">
        <v>25</v>
      </c>
      <c r="D14" s="15"/>
      <c r="E14" s="15"/>
      <c r="F14" s="9"/>
      <c r="G14" s="9"/>
      <c r="H14" s="15"/>
      <c r="I14" s="15"/>
      <c r="J14" s="9"/>
      <c r="K14" s="9"/>
      <c r="L14" s="15"/>
      <c r="M14" s="15"/>
      <c r="N14" s="9"/>
      <c r="O14" s="9"/>
      <c r="P14" s="15"/>
      <c r="Q14" s="15"/>
      <c r="R14" s="9"/>
      <c r="S14" s="9"/>
      <c r="T14" s="15"/>
      <c r="U14" s="15"/>
      <c r="V14" s="9"/>
      <c r="W14" s="9"/>
      <c r="X14" s="15"/>
      <c r="Y14" s="15"/>
      <c r="Z14" s="9"/>
      <c r="AA14" s="9"/>
      <c r="AB14" s="15"/>
      <c r="AC14" s="15"/>
      <c r="AD14" s="9"/>
      <c r="AE14" s="9"/>
      <c r="AF14" s="15"/>
      <c r="AG14" s="15"/>
      <c r="AH14" s="9"/>
      <c r="AI14" s="9"/>
      <c r="AJ14" s="15"/>
      <c r="AK14" s="15"/>
      <c r="AL14" s="9"/>
      <c r="AM14" s="9"/>
      <c r="AN14" s="15"/>
      <c r="AO14" s="15"/>
      <c r="AP14" s="9"/>
      <c r="AQ14" s="9"/>
      <c r="AR14" s="15"/>
      <c r="AS14" s="15"/>
      <c r="AT14" s="9"/>
      <c r="AU14" s="9"/>
      <c r="AV14" s="15"/>
      <c r="AW14" s="15"/>
      <c r="AX14" s="9"/>
      <c r="AY14" s="9"/>
      <c r="AZ14" s="15"/>
      <c r="BA14" s="15"/>
      <c r="BB14" s="9"/>
      <c r="BC14" s="9"/>
      <c r="BD14" s="15"/>
      <c r="BE14" s="15"/>
      <c r="BF14" s="9"/>
      <c r="BG14" s="9"/>
      <c r="BH14" s="15"/>
      <c r="BI14" s="15"/>
      <c r="BJ14" s="9"/>
      <c r="BK14" s="9"/>
      <c r="BL14" s="15"/>
      <c r="BM14" s="15"/>
      <c r="BN14">
        <f>SUMIFS($D14:$BM14,$D$9:$BM$9,$H$1)</f>
        <v>0</v>
      </c>
      <c r="BO14">
        <f>SUMIFS($D14:$BM14,$D$9:$BM$9,$H$2)</f>
        <v>0</v>
      </c>
      <c r="BP14">
        <f>BN14-BO14</f>
        <v>0</v>
      </c>
    </row>
    <row r="15" spans="2:69">
      <c r="B15" s="6" t="s">
        <v>26</v>
      </c>
      <c r="C15" s="6" t="s">
        <v>27</v>
      </c>
      <c r="D15" s="10"/>
      <c r="E15" s="15"/>
      <c r="F15" s="9"/>
      <c r="G15" s="9"/>
      <c r="H15" s="15"/>
      <c r="I15" s="15"/>
      <c r="J15" s="9"/>
      <c r="K15" s="9"/>
      <c r="L15" s="15"/>
      <c r="M15" s="15"/>
      <c r="N15" s="9"/>
      <c r="O15" s="9"/>
      <c r="P15" s="15"/>
      <c r="Q15" s="15"/>
      <c r="R15" s="9"/>
      <c r="S15" s="9"/>
      <c r="T15" s="15"/>
      <c r="U15" s="15"/>
      <c r="V15" s="9"/>
      <c r="W15" s="9"/>
      <c r="X15" s="15"/>
      <c r="Y15" s="15"/>
      <c r="Z15" s="9"/>
      <c r="AA15" s="9"/>
      <c r="AB15" s="15"/>
      <c r="AC15" s="15"/>
      <c r="AD15" s="9"/>
      <c r="AE15" s="9"/>
      <c r="AF15" s="15"/>
      <c r="AG15" s="15"/>
      <c r="AH15" s="9"/>
      <c r="AI15" s="9"/>
      <c r="AJ15" s="15"/>
      <c r="AK15" s="15"/>
      <c r="AL15" s="9"/>
      <c r="AM15" s="9"/>
      <c r="AN15" s="15"/>
      <c r="AO15" s="15"/>
      <c r="AP15" s="9"/>
      <c r="AQ15" s="9"/>
      <c r="AR15" s="15"/>
      <c r="AS15" s="15"/>
      <c r="AT15" s="9"/>
      <c r="AU15" s="9"/>
      <c r="AV15" s="15"/>
      <c r="AW15" s="15"/>
      <c r="AX15" s="9"/>
      <c r="AY15" s="9"/>
      <c r="AZ15" s="15"/>
      <c r="BA15" s="15"/>
      <c r="BB15" s="9"/>
      <c r="BC15" s="9"/>
      <c r="BD15" s="15"/>
      <c r="BE15" s="15"/>
      <c r="BF15" s="9"/>
      <c r="BG15" s="9"/>
      <c r="BH15" s="15"/>
      <c r="BI15" s="15"/>
      <c r="BJ15" s="9"/>
      <c r="BK15" s="9"/>
      <c r="BL15" s="15"/>
      <c r="BM15" s="10"/>
      <c r="BN15">
        <f>SUMIFS($D15:$BM15,$D$9:$BM$9,$H$1)</f>
        <v>0</v>
      </c>
      <c r="BO15">
        <f>SUMIFS($D15:$BM15,$D$9:$BM$9,$H$2)</f>
        <v>0</v>
      </c>
      <c r="BP15">
        <f>BN15-BO15</f>
        <v>0</v>
      </c>
    </row>
    <row r="16" spans="2:69">
      <c r="B16" s="6" t="s">
        <v>28</v>
      </c>
      <c r="C16" s="6" t="s">
        <v>27</v>
      </c>
      <c r="D16" s="10"/>
      <c r="E16" s="15"/>
      <c r="F16" s="9"/>
      <c r="G16" s="9"/>
      <c r="H16" s="15"/>
      <c r="I16" s="15"/>
      <c r="J16" s="9"/>
      <c r="K16" s="9"/>
      <c r="L16" s="15"/>
      <c r="M16" s="15"/>
      <c r="N16" s="9"/>
      <c r="O16" s="9"/>
      <c r="P16" s="15"/>
      <c r="Q16" s="15"/>
      <c r="R16" s="9"/>
      <c r="S16" s="9"/>
      <c r="T16" s="15"/>
      <c r="U16" s="15"/>
      <c r="V16" s="9"/>
      <c r="W16" s="9"/>
      <c r="X16" s="15"/>
      <c r="Y16" s="15"/>
      <c r="Z16" s="9"/>
      <c r="AA16" s="9"/>
      <c r="AB16" s="15"/>
      <c r="AC16" s="15"/>
      <c r="AD16" s="9"/>
      <c r="AE16" s="9"/>
      <c r="AF16" s="15"/>
      <c r="AG16" s="15"/>
      <c r="AH16" s="9"/>
      <c r="AI16" s="9"/>
      <c r="AJ16" s="15"/>
      <c r="AK16" s="15"/>
      <c r="AL16" s="9"/>
      <c r="AM16" s="9"/>
      <c r="AN16" s="15"/>
      <c r="AO16" s="15"/>
      <c r="AP16" s="9"/>
      <c r="AQ16" s="9"/>
      <c r="AR16" s="15"/>
      <c r="AS16" s="15"/>
      <c r="AT16" s="9"/>
      <c r="AU16" s="9"/>
      <c r="AV16" s="15"/>
      <c r="AW16" s="15"/>
      <c r="AX16" s="9"/>
      <c r="AY16" s="9"/>
      <c r="AZ16" s="15"/>
      <c r="BA16" s="15"/>
      <c r="BB16" s="9"/>
      <c r="BC16" s="9"/>
      <c r="BD16" s="15"/>
      <c r="BE16" s="15"/>
      <c r="BF16" s="9"/>
      <c r="BG16" s="9"/>
      <c r="BH16" s="15"/>
      <c r="BI16" s="15"/>
      <c r="BJ16" s="9"/>
      <c r="BK16" s="9"/>
      <c r="BL16" s="15"/>
      <c r="BM16" s="10"/>
      <c r="BN16">
        <f>SUMIFS($D16:$BM16,$D$9:$BM$9,$H$1)</f>
        <v>0</v>
      </c>
      <c r="BO16">
        <f>SUMIFS($D16:$BM16,$D$9:$BM$9,$H$2)</f>
        <v>0</v>
      </c>
      <c r="BP16">
        <f>BN16-BO16</f>
        <v>0</v>
      </c>
    </row>
    <row r="17" spans="2:68">
      <c r="B17" s="6" t="s">
        <v>29</v>
      </c>
      <c r="C17" s="6" t="s">
        <v>30</v>
      </c>
      <c r="D17" s="10"/>
      <c r="E17" s="10"/>
      <c r="H17" s="10"/>
      <c r="I17" s="10"/>
      <c r="L17" s="10"/>
      <c r="M17" s="10"/>
      <c r="P17" s="10"/>
      <c r="Q17" s="10"/>
      <c r="T17" s="10"/>
      <c r="U17" s="10"/>
      <c r="X17" s="10"/>
      <c r="Y17" s="10"/>
      <c r="AB17" s="10"/>
      <c r="AC17" s="10"/>
      <c r="AF17" s="10"/>
      <c r="AG17" s="10"/>
      <c r="AJ17" s="10"/>
      <c r="AK17" s="10"/>
      <c r="AN17" s="10"/>
      <c r="AO17" s="10"/>
      <c r="AR17" s="10"/>
      <c r="AS17" s="10"/>
      <c r="AV17" s="10"/>
      <c r="AW17" s="10"/>
      <c r="AZ17" s="10"/>
      <c r="BA17" s="10"/>
      <c r="BD17" s="10"/>
      <c r="BE17" s="10"/>
      <c r="BH17" s="10"/>
      <c r="BI17" s="10"/>
      <c r="BL17" s="10"/>
      <c r="BM17" s="10"/>
      <c r="BN17">
        <f>SUMIFS($D17:$BM17,$D$9:$BM$9,$H$1)</f>
        <v>0</v>
      </c>
      <c r="BO17">
        <f>SUMIFS($D17:$BM17,$D$9:$BM$9,$H$2)</f>
        <v>0</v>
      </c>
      <c r="BP17">
        <f>BN17-BO17</f>
        <v>0</v>
      </c>
    </row>
    <row r="18" spans="2:68">
      <c r="B18" s="6" t="s">
        <v>31</v>
      </c>
      <c r="C18" s="6" t="s">
        <v>32</v>
      </c>
      <c r="D18" s="10"/>
      <c r="E18" s="10"/>
      <c r="H18" s="10"/>
      <c r="I18" s="10"/>
      <c r="L18" s="10"/>
      <c r="M18" s="10"/>
      <c r="P18" s="10"/>
      <c r="Q18" s="10"/>
      <c r="T18" s="10"/>
      <c r="U18" s="10"/>
      <c r="X18" s="10"/>
      <c r="Y18" s="10"/>
      <c r="AB18" s="10"/>
      <c r="AC18" s="10"/>
      <c r="AF18" s="10"/>
      <c r="AG18" s="10"/>
      <c r="AJ18" s="10"/>
      <c r="AK18" s="10"/>
      <c r="AN18" s="10"/>
      <c r="AO18" s="10"/>
      <c r="AR18" s="10"/>
      <c r="AS18" s="10"/>
      <c r="AV18" s="10"/>
      <c r="AW18" s="10"/>
      <c r="AZ18" s="10"/>
      <c r="BA18" s="10"/>
      <c r="BD18" s="10"/>
      <c r="BE18" s="10"/>
      <c r="BH18" s="10"/>
      <c r="BI18" s="10"/>
      <c r="BL18" s="10"/>
      <c r="BM18" s="10"/>
      <c r="BN18">
        <f>SUMIFS($D18:$BM18,$D$9:$BM$9,$H$1)</f>
        <v>0</v>
      </c>
      <c r="BO18">
        <f>SUMIFS($D18:$BM18,$D$9:$BM$9,$H$2)</f>
        <v>0</v>
      </c>
      <c r="BP18">
        <f>BN18-BO18</f>
        <v>0</v>
      </c>
    </row>
    <row r="19" spans="2:68">
      <c r="B19" s="6" t="s">
        <v>33</v>
      </c>
      <c r="C19" s="6" t="s">
        <v>34</v>
      </c>
      <c r="D19" s="10"/>
      <c r="E19" s="10"/>
      <c r="H19" s="10"/>
      <c r="I19" s="10"/>
      <c r="L19" s="10"/>
      <c r="M19" s="10"/>
      <c r="P19" s="10"/>
      <c r="Q19" s="10"/>
      <c r="T19" s="10"/>
      <c r="U19" s="10"/>
      <c r="X19" s="10"/>
      <c r="Y19" s="10"/>
      <c r="AB19" s="10"/>
      <c r="AC19" s="10"/>
      <c r="AF19" s="10"/>
      <c r="AG19" s="10"/>
      <c r="AJ19" s="10"/>
      <c r="AK19" s="10"/>
      <c r="AN19" s="10"/>
      <c r="AO19" s="10"/>
      <c r="AR19" s="10"/>
      <c r="AS19" s="10"/>
      <c r="AV19" s="10"/>
      <c r="AW19" s="10"/>
      <c r="AZ19" s="10"/>
      <c r="BA19" s="10"/>
      <c r="BD19" s="10"/>
      <c r="BE19" s="10"/>
      <c r="BH19" s="10"/>
      <c r="BI19" s="10"/>
      <c r="BL19" s="10"/>
      <c r="BM19" s="10"/>
      <c r="BN19">
        <f>SUMIFS($D19:$BM19,$D$9:$BM$9,$H$1)</f>
        <v>0</v>
      </c>
      <c r="BO19">
        <f>SUMIFS($D19:$BM19,$D$9:$BM$9,$H$2)</f>
        <v>0</v>
      </c>
      <c r="BP19">
        <f>BN19-BO19</f>
        <v>0</v>
      </c>
    </row>
    <row r="20" spans="2:68">
      <c r="B20" s="6" t="s">
        <v>35</v>
      </c>
      <c r="C20" s="6" t="s">
        <v>36</v>
      </c>
      <c r="D20" s="10"/>
      <c r="E20" s="15"/>
      <c r="F20" s="9"/>
      <c r="G20" s="9"/>
      <c r="H20" s="15"/>
      <c r="I20" s="15"/>
      <c r="J20" s="9"/>
      <c r="K20" s="9"/>
      <c r="L20" s="15"/>
      <c r="M20" s="15"/>
      <c r="N20" s="9"/>
      <c r="O20" s="9"/>
      <c r="P20" s="15"/>
      <c r="Q20" s="15"/>
      <c r="R20" s="9"/>
      <c r="S20" s="9"/>
      <c r="T20" s="15"/>
      <c r="U20" s="15"/>
      <c r="V20" s="9"/>
      <c r="W20" s="9"/>
      <c r="X20" s="15"/>
      <c r="Y20" s="15"/>
      <c r="Z20" s="9"/>
      <c r="AA20" s="9"/>
      <c r="AB20" s="15"/>
      <c r="AC20" s="15"/>
      <c r="AD20" s="9"/>
      <c r="AE20" s="9"/>
      <c r="AF20" s="15"/>
      <c r="AG20" s="15"/>
      <c r="AH20" s="9"/>
      <c r="AI20" s="9"/>
      <c r="AJ20" s="15"/>
      <c r="AK20" s="15"/>
      <c r="AL20" s="9"/>
      <c r="AM20" s="9"/>
      <c r="AN20" s="15"/>
      <c r="AO20" s="15"/>
      <c r="AP20" s="9"/>
      <c r="AQ20" s="9"/>
      <c r="AR20" s="15"/>
      <c r="AS20" s="15"/>
      <c r="AT20" s="9"/>
      <c r="AU20" s="9"/>
      <c r="AV20" s="15"/>
      <c r="AW20" s="15"/>
      <c r="AX20" s="9"/>
      <c r="AY20" s="9"/>
      <c r="AZ20" s="15"/>
      <c r="BA20" s="15"/>
      <c r="BB20" s="9"/>
      <c r="BC20" s="9"/>
      <c r="BD20" s="15"/>
      <c r="BE20" s="15"/>
      <c r="BF20" s="9"/>
      <c r="BG20" s="9"/>
      <c r="BH20" s="15"/>
      <c r="BI20" s="15"/>
      <c r="BJ20" s="9"/>
      <c r="BK20" s="9"/>
      <c r="BL20" s="15"/>
      <c r="BM20" s="10"/>
      <c r="BN20">
        <f>SUMIFS($D20:$BM20,$D$9:$BM$9,$H$1)</f>
        <v>0</v>
      </c>
      <c r="BO20">
        <f>SUMIFS($D20:$BM20,$D$9:$BM$9,$H$2)</f>
        <v>0</v>
      </c>
      <c r="BP20">
        <f>BN20-BO20</f>
        <v>0</v>
      </c>
    </row>
    <row r="21" spans="2:68">
      <c r="B21" s="6" t="s">
        <v>37</v>
      </c>
      <c r="C21" s="6" t="s">
        <v>38</v>
      </c>
      <c r="D21" s="10"/>
      <c r="E21" s="10"/>
      <c r="H21" s="10"/>
      <c r="I21" s="10"/>
      <c r="L21" s="10"/>
      <c r="M21" s="10"/>
      <c r="P21" s="10"/>
      <c r="Q21" s="10"/>
      <c r="T21" s="10"/>
      <c r="U21" s="10"/>
      <c r="X21" s="10"/>
      <c r="Y21" s="10"/>
      <c r="AB21" s="10"/>
      <c r="AC21" s="10"/>
      <c r="AF21" s="10"/>
      <c r="AG21" s="10"/>
      <c r="AJ21" s="10"/>
      <c r="AK21" s="10"/>
      <c r="AN21" s="10"/>
      <c r="AO21" s="10"/>
      <c r="AR21" s="10"/>
      <c r="AS21" s="10"/>
      <c r="AV21" s="10"/>
      <c r="AW21" s="10"/>
      <c r="AZ21" s="10"/>
      <c r="BA21" s="10"/>
      <c r="BD21" s="10"/>
      <c r="BE21" s="10"/>
      <c r="BH21" s="10"/>
      <c r="BI21" s="10"/>
      <c r="BL21" s="10"/>
      <c r="BM21" s="10"/>
      <c r="BN21">
        <f>SUMIFS($D21:$BM21,$D$9:$BM$9,$H$1)</f>
        <v>0</v>
      </c>
      <c r="BO21">
        <f>SUMIFS($D21:$BM21,$D$9:$BM$9,$H$2)</f>
        <v>0</v>
      </c>
      <c r="BP21">
        <f>BN21-BO21</f>
        <v>0</v>
      </c>
    </row>
    <row r="22" spans="2:68">
      <c r="B22" s="6" t="s">
        <v>39</v>
      </c>
      <c r="C22" s="6" t="s">
        <v>40</v>
      </c>
      <c r="D22" s="10"/>
      <c r="E22" s="10"/>
      <c r="H22" s="10"/>
      <c r="I22" s="10"/>
      <c r="L22" s="10"/>
      <c r="M22" s="10"/>
      <c r="P22" s="10"/>
      <c r="Q22" s="10"/>
      <c r="T22" s="10"/>
      <c r="U22" s="10"/>
      <c r="X22" s="10"/>
      <c r="Y22" s="10"/>
      <c r="AB22" s="10"/>
      <c r="AC22" s="10"/>
      <c r="AF22" s="10"/>
      <c r="AG22" s="10"/>
      <c r="AJ22" s="10"/>
      <c r="AK22" s="10"/>
      <c r="AN22" s="10"/>
      <c r="AO22" s="10"/>
      <c r="AR22" s="10"/>
      <c r="AS22" s="10"/>
      <c r="AV22" s="10"/>
      <c r="AW22" s="10"/>
      <c r="AZ22" s="10"/>
      <c r="BA22" s="10"/>
      <c r="BD22" s="10"/>
      <c r="BE22" s="10"/>
      <c r="BH22" s="10"/>
      <c r="BI22" s="10"/>
      <c r="BL22" s="10"/>
      <c r="BM22" s="10"/>
      <c r="BN22">
        <f>SUMIFS($D22:$BM22,$D$9:$BM$9,$H$1)</f>
        <v>0</v>
      </c>
      <c r="BO22">
        <f>SUMIFS($D22:$BM22,$D$9:$BM$9,$H$2)</f>
        <v>0</v>
      </c>
      <c r="BP22">
        <f>BN22-BO22</f>
        <v>0</v>
      </c>
    </row>
    <row r="23" spans="2:68">
      <c r="B23" s="6" t="s">
        <v>41</v>
      </c>
      <c r="C23" s="6" t="s">
        <v>42</v>
      </c>
      <c r="D23" s="10"/>
      <c r="E23" s="10"/>
      <c r="H23" s="10"/>
      <c r="I23" s="10"/>
      <c r="L23" s="10"/>
      <c r="M23" s="10"/>
      <c r="P23" s="10"/>
      <c r="Q23" s="10"/>
      <c r="T23" s="10"/>
      <c r="U23" s="10"/>
      <c r="X23" s="10"/>
      <c r="Y23" s="10"/>
      <c r="AB23" s="10"/>
      <c r="AC23" s="10"/>
      <c r="AF23" s="10"/>
      <c r="AG23" s="10"/>
      <c r="AJ23" s="10"/>
      <c r="AK23" s="10"/>
      <c r="AN23" s="10"/>
      <c r="AO23" s="10"/>
      <c r="AR23" s="10"/>
      <c r="AS23" s="10"/>
      <c r="AV23" s="10"/>
      <c r="AW23" s="10"/>
      <c r="AZ23" s="10"/>
      <c r="BA23" s="10"/>
      <c r="BD23" s="10"/>
      <c r="BE23" s="10"/>
      <c r="BH23" s="10"/>
      <c r="BI23" s="10"/>
      <c r="BL23" s="10"/>
      <c r="BM23" s="10"/>
      <c r="BN23">
        <f>SUMIFS($D23:$BM23,$D$9:$BM$9,$H$1)</f>
        <v>0</v>
      </c>
      <c r="BO23">
        <f>SUMIFS($D23:$BM23,$D$9:$BM$9,$H$2)</f>
        <v>0</v>
      </c>
      <c r="BP23">
        <f>BN23-BO23</f>
        <v>0</v>
      </c>
    </row>
    <row r="24" spans="2:68">
      <c r="B24" s="6" t="s">
        <v>43</v>
      </c>
      <c r="C24" s="6" t="s">
        <v>44</v>
      </c>
      <c r="D24" s="10"/>
      <c r="E24" s="10"/>
      <c r="H24" s="10"/>
      <c r="I24" s="10"/>
      <c r="L24" s="10"/>
      <c r="M24" s="10"/>
      <c r="P24" s="10"/>
      <c r="Q24" s="10"/>
      <c r="T24" s="10"/>
      <c r="U24" s="10"/>
      <c r="X24" s="10"/>
      <c r="Y24" s="10"/>
      <c r="AB24" s="10"/>
      <c r="AC24" s="10"/>
      <c r="AF24" s="10"/>
      <c r="AG24" s="10"/>
      <c r="AJ24" s="10"/>
      <c r="AK24" s="10"/>
      <c r="AN24" s="10"/>
      <c r="AO24" s="10"/>
      <c r="AR24" s="10"/>
      <c r="AS24" s="10"/>
      <c r="AV24" s="10"/>
      <c r="AW24" s="10"/>
      <c r="AZ24" s="10"/>
      <c r="BA24" s="10"/>
      <c r="BD24" s="10"/>
      <c r="BE24" s="10"/>
      <c r="BH24" s="10"/>
      <c r="BI24" s="10"/>
      <c r="BL24" s="10"/>
      <c r="BM24" s="10"/>
      <c r="BN24">
        <f>SUMIFS($D24:$BM24,$D$9:$BM$9,$H$1)</f>
        <v>0</v>
      </c>
      <c r="BO24">
        <f>SUMIFS($D24:$BM24,$D$9:$BM$9,$H$2)</f>
        <v>0</v>
      </c>
      <c r="BP24">
        <f>BN24-BO24</f>
        <v>0</v>
      </c>
    </row>
    <row r="25" spans="2:68">
      <c r="B25" s="6" t="s">
        <v>45</v>
      </c>
      <c r="C25" s="6" t="s">
        <v>46</v>
      </c>
      <c r="D25" s="10"/>
      <c r="E25" s="10"/>
      <c r="H25" s="10"/>
      <c r="I25" s="10"/>
      <c r="L25" s="10"/>
      <c r="M25" s="10"/>
      <c r="P25" s="10"/>
      <c r="Q25" s="10"/>
      <c r="T25" s="10"/>
      <c r="U25" s="10"/>
      <c r="X25" s="10"/>
      <c r="Y25" s="10"/>
      <c r="AB25" s="10"/>
      <c r="AC25" s="10"/>
      <c r="AF25" s="10"/>
      <c r="AG25" s="10"/>
      <c r="AJ25" s="10"/>
      <c r="AK25" s="10"/>
      <c r="AN25" s="10"/>
      <c r="AO25" s="10"/>
      <c r="AR25" s="10"/>
      <c r="AS25" s="10"/>
      <c r="AV25" s="10"/>
      <c r="AW25" s="10"/>
      <c r="AZ25" s="10"/>
      <c r="BA25" s="10"/>
      <c r="BD25" s="10"/>
      <c r="BE25" s="10"/>
      <c r="BH25" s="10"/>
      <c r="BI25" s="10"/>
      <c r="BL25" s="10"/>
      <c r="BM25" s="10"/>
      <c r="BN25">
        <f>SUMIFS($D25:$BM25,$D$9:$BM$9,$H$1)</f>
        <v>0</v>
      </c>
      <c r="BO25">
        <f>SUMIFS($D25:$BM25,$D$9:$BM$9,$H$2)</f>
        <v>0</v>
      </c>
      <c r="BP25">
        <f>BN25-BO25</f>
        <v>0</v>
      </c>
    </row>
    <row r="26" spans="2:68">
      <c r="B26" s="6" t="s">
        <v>47</v>
      </c>
      <c r="C26" s="6" t="s">
        <v>48</v>
      </c>
      <c r="D26" s="10"/>
      <c r="E26" s="10"/>
      <c r="H26" s="10"/>
      <c r="I26" s="10"/>
      <c r="L26" s="10"/>
      <c r="M26" s="10"/>
      <c r="P26" s="10"/>
      <c r="Q26" s="10"/>
      <c r="T26" s="10"/>
      <c r="U26" s="10"/>
      <c r="X26" s="10"/>
      <c r="Y26" s="10"/>
      <c r="AB26" s="10"/>
      <c r="AC26" s="10"/>
      <c r="AF26" s="10"/>
      <c r="AG26" s="10"/>
      <c r="AJ26" s="10"/>
      <c r="AK26" s="10"/>
      <c r="AN26" s="10"/>
      <c r="AO26" s="10"/>
      <c r="AR26" s="10"/>
      <c r="AS26" s="10"/>
      <c r="AV26" s="10"/>
      <c r="AW26" s="10"/>
      <c r="AZ26" s="10"/>
      <c r="BA26" s="10"/>
      <c r="BD26" s="10"/>
      <c r="BE26" s="10"/>
      <c r="BH26" s="10"/>
      <c r="BI26" s="10"/>
      <c r="BL26" s="10"/>
      <c r="BM26" s="10"/>
      <c r="BN26">
        <f>SUMIFS($D26:$BM26,$D$9:$BM$9,$H$1)</f>
        <v>0</v>
      </c>
      <c r="BO26">
        <f>SUMIFS($D26:$BM26,$D$9:$BM$9,$H$2)</f>
        <v>0</v>
      </c>
      <c r="BP26">
        <f>BN26-BO26</f>
        <v>0</v>
      </c>
    </row>
    <row r="27" spans="2:68">
      <c r="B27" s="6" t="s">
        <v>49</v>
      </c>
      <c r="C27" s="6" t="s">
        <v>50</v>
      </c>
      <c r="D27" s="10"/>
      <c r="E27" s="10"/>
      <c r="H27" s="10"/>
      <c r="I27" s="10"/>
      <c r="L27" s="10"/>
      <c r="M27" s="10"/>
      <c r="P27" s="10"/>
      <c r="Q27" s="10"/>
      <c r="T27" s="10"/>
      <c r="U27" s="10"/>
      <c r="X27" s="10"/>
      <c r="Y27" s="10"/>
      <c r="AB27" s="10"/>
      <c r="AC27" s="10"/>
      <c r="AF27" s="10"/>
      <c r="AG27" s="10"/>
      <c r="AJ27" s="10"/>
      <c r="AK27" s="10"/>
      <c r="AN27" s="10"/>
      <c r="AO27" s="10"/>
      <c r="AR27" s="10"/>
      <c r="AS27" s="10"/>
      <c r="AV27" s="10"/>
      <c r="AW27" s="10"/>
      <c r="AZ27" s="10"/>
      <c r="BA27" s="10"/>
      <c r="BD27" s="10"/>
      <c r="BE27" s="10"/>
      <c r="BH27" s="10"/>
      <c r="BI27" s="10"/>
      <c r="BL27" s="10"/>
      <c r="BM27" s="10"/>
      <c r="BN27">
        <f>SUMIFS($D27:$BM27,$D$9:$BM$9,$H$1)</f>
        <v>0</v>
      </c>
      <c r="BO27">
        <f>SUMIFS($D27:$BM27,$D$9:$BM$9,$H$2)</f>
        <v>0</v>
      </c>
      <c r="BP27">
        <f>BN27-BO27</f>
        <v>0</v>
      </c>
    </row>
    <row r="28" spans="2:68">
      <c r="B28" s="6" t="s">
        <v>51</v>
      </c>
      <c r="C28" s="6" t="s">
        <v>50</v>
      </c>
      <c r="D28" s="10"/>
      <c r="E28" s="10"/>
      <c r="H28" s="10"/>
      <c r="I28" s="10"/>
      <c r="L28" s="10"/>
      <c r="M28" s="10"/>
      <c r="P28" s="10"/>
      <c r="Q28" s="10"/>
      <c r="T28" s="10"/>
      <c r="U28" s="10"/>
      <c r="X28" s="10"/>
      <c r="Y28" s="10"/>
      <c r="AB28" s="10"/>
      <c r="AC28" s="10"/>
      <c r="AF28" s="10"/>
      <c r="AG28" s="10"/>
      <c r="AJ28" s="10"/>
      <c r="AK28" s="10"/>
      <c r="AN28" s="10"/>
      <c r="AO28" s="10"/>
      <c r="AR28" s="10"/>
      <c r="AS28" s="10"/>
      <c r="AV28" s="10"/>
      <c r="AW28" s="10"/>
      <c r="AZ28" s="10"/>
      <c r="BA28" s="10"/>
      <c r="BD28" s="10"/>
      <c r="BE28" s="10"/>
      <c r="BH28" s="10"/>
      <c r="BI28" s="10"/>
      <c r="BL28" s="10"/>
      <c r="BM28" s="10"/>
      <c r="BN28">
        <f>SUMIFS($D28:$BM28,$D$9:$BM$9,$H$1)</f>
        <v>0</v>
      </c>
      <c r="BO28">
        <f>SUMIFS($D28:$BM28,$D$9:$BM$9,$H$2)</f>
        <v>0</v>
      </c>
      <c r="BP28">
        <f>BN28-BO28</f>
        <v>0</v>
      </c>
    </row>
    <row r="29" spans="2:68">
      <c r="B29" s="6" t="s">
        <v>52</v>
      </c>
      <c r="C29" s="6" t="s">
        <v>50</v>
      </c>
      <c r="D29" s="10"/>
      <c r="E29" s="15"/>
      <c r="F29" s="9"/>
      <c r="G29" s="9"/>
      <c r="H29" s="15"/>
      <c r="I29" s="15"/>
      <c r="J29" s="9"/>
      <c r="K29" s="9"/>
      <c r="L29" s="15"/>
      <c r="M29" s="15"/>
      <c r="N29" s="9"/>
      <c r="O29" s="9"/>
      <c r="P29" s="15"/>
      <c r="Q29" s="15"/>
      <c r="R29" s="9"/>
      <c r="S29" s="9"/>
      <c r="T29" s="15"/>
      <c r="U29" s="15"/>
      <c r="V29" s="9"/>
      <c r="W29" s="9"/>
      <c r="X29" s="15"/>
      <c r="Y29" s="15"/>
      <c r="Z29" s="9"/>
      <c r="AA29" s="9"/>
      <c r="AB29" s="15"/>
      <c r="AC29" s="15"/>
      <c r="AD29" s="9"/>
      <c r="AE29" s="9"/>
      <c r="AF29" s="15"/>
      <c r="AG29" s="15"/>
      <c r="AH29" s="9"/>
      <c r="AI29" s="9"/>
      <c r="AJ29" s="15"/>
      <c r="AK29" s="15"/>
      <c r="AL29" s="9"/>
      <c r="AM29" s="9"/>
      <c r="AN29" s="15"/>
      <c r="AO29" s="15"/>
      <c r="AP29" s="9"/>
      <c r="AQ29" s="9"/>
      <c r="AR29" s="15"/>
      <c r="AS29" s="15"/>
      <c r="AT29" s="9"/>
      <c r="AU29" s="9"/>
      <c r="AV29" s="15"/>
      <c r="AW29" s="15"/>
      <c r="AX29" s="9"/>
      <c r="AY29" s="9"/>
      <c r="AZ29" s="15"/>
      <c r="BA29" s="15"/>
      <c r="BB29" s="9"/>
      <c r="BC29" s="9"/>
      <c r="BD29" s="15"/>
      <c r="BE29" s="15"/>
      <c r="BF29" s="9"/>
      <c r="BG29" s="9"/>
      <c r="BH29" s="15"/>
      <c r="BI29" s="15"/>
      <c r="BJ29" s="9"/>
      <c r="BK29" s="9"/>
      <c r="BL29" s="15"/>
      <c r="BM29" s="10"/>
      <c r="BN29">
        <f>SUMIFS($D29:$BM29,$D$9:$BM$9,$H$1)</f>
        <v>0</v>
      </c>
      <c r="BO29">
        <f>SUMIFS($D29:$BM29,$D$9:$BM$9,$H$2)</f>
        <v>0</v>
      </c>
      <c r="BP29">
        <f>BN29-BO29</f>
        <v>0</v>
      </c>
    </row>
    <row r="30" spans="2:68">
      <c r="B30" s="6" t="s">
        <v>53</v>
      </c>
      <c r="C30" s="6" t="s">
        <v>54</v>
      </c>
      <c r="D30" s="10"/>
      <c r="E30" s="10"/>
      <c r="H30" s="10"/>
      <c r="I30" s="10"/>
      <c r="L30" s="10"/>
      <c r="M30" s="10"/>
      <c r="P30" s="10"/>
      <c r="Q30" s="10"/>
      <c r="T30" s="10"/>
      <c r="U30" s="10"/>
      <c r="X30" s="10"/>
      <c r="Y30" s="10"/>
      <c r="AB30" s="10"/>
      <c r="AC30" s="10"/>
      <c r="AF30" s="10"/>
      <c r="AG30" s="10"/>
      <c r="AJ30" s="10"/>
      <c r="AK30" s="10"/>
      <c r="AN30" s="10"/>
      <c r="AO30" s="10"/>
      <c r="AR30" s="10"/>
      <c r="AS30" s="10"/>
      <c r="AV30" s="10"/>
      <c r="AW30" s="10"/>
      <c r="AZ30" s="10"/>
      <c r="BA30" s="10"/>
      <c r="BD30" s="10"/>
      <c r="BE30" s="10"/>
      <c r="BH30" s="10"/>
      <c r="BI30" s="10"/>
      <c r="BL30" s="10"/>
      <c r="BM30" s="10"/>
      <c r="BN30">
        <f>SUMIFS($D30:$BM30,$D$9:$BM$9,$H$1)</f>
        <v>0</v>
      </c>
      <c r="BO30">
        <f>SUMIFS($D30:$BM30,$D$9:$BM$9,$H$2)</f>
        <v>0</v>
      </c>
      <c r="BP30">
        <f>BN30-BO30</f>
        <v>0</v>
      </c>
    </row>
    <row r="31" spans="2:68">
      <c r="B31" s="6" t="s">
        <v>55</v>
      </c>
      <c r="C31" s="6" t="s">
        <v>56</v>
      </c>
      <c r="D31" s="10"/>
      <c r="E31" s="10"/>
      <c r="H31" s="10"/>
      <c r="I31" s="10"/>
      <c r="L31" s="10"/>
      <c r="M31" s="10"/>
      <c r="P31" s="10"/>
      <c r="Q31" s="10"/>
      <c r="T31" s="10"/>
      <c r="U31" s="10"/>
      <c r="X31" s="10"/>
      <c r="Y31" s="10"/>
      <c r="AB31" s="10"/>
      <c r="AC31" s="10"/>
      <c r="AF31" s="10"/>
      <c r="AG31" s="10"/>
      <c r="AJ31" s="10"/>
      <c r="AK31" s="10"/>
      <c r="AN31" s="10"/>
      <c r="AO31" s="10"/>
      <c r="AR31" s="10"/>
      <c r="AS31" s="10"/>
      <c r="AV31" s="10"/>
      <c r="AW31" s="10"/>
      <c r="AZ31" s="10"/>
      <c r="BA31" s="10"/>
      <c r="BD31" s="10"/>
      <c r="BE31" s="10"/>
      <c r="BH31" s="10"/>
      <c r="BI31" s="10"/>
      <c r="BL31" s="10"/>
      <c r="BM31" s="10"/>
      <c r="BN31">
        <f>SUMIFS($D31:$BM31,$D$9:$BM$9,$H$1)</f>
        <v>0</v>
      </c>
      <c r="BO31">
        <f>SUMIFS($D31:$BM31,$D$9:$BM$9,$H$2)</f>
        <v>0</v>
      </c>
      <c r="BP31">
        <f>BN31-BO31</f>
        <v>0</v>
      </c>
    </row>
    <row r="32" spans="2:68">
      <c r="B32" s="6" t="s">
        <v>57</v>
      </c>
      <c r="C32" s="6" t="s">
        <v>56</v>
      </c>
      <c r="D32" s="10"/>
      <c r="E32" s="10"/>
      <c r="H32" s="10"/>
      <c r="I32" s="10"/>
      <c r="L32" s="10"/>
      <c r="M32" s="10"/>
      <c r="P32" s="10"/>
      <c r="Q32" s="10"/>
      <c r="T32" s="10"/>
      <c r="U32" s="10"/>
      <c r="X32" s="10"/>
      <c r="Y32" s="10"/>
      <c r="AB32" s="10"/>
      <c r="AC32" s="10"/>
      <c r="AF32" s="10"/>
      <c r="AG32" s="10"/>
      <c r="AJ32" s="10"/>
      <c r="AK32" s="10"/>
      <c r="AN32" s="10"/>
      <c r="AO32" s="10"/>
      <c r="AR32" s="10"/>
      <c r="AS32" s="10"/>
      <c r="AV32" s="10"/>
      <c r="AW32" s="10"/>
      <c r="AZ32" s="10"/>
      <c r="BA32" s="10"/>
      <c r="BD32" s="10"/>
      <c r="BE32" s="10"/>
      <c r="BH32" s="10"/>
      <c r="BI32" s="10"/>
      <c r="BL32" s="10"/>
      <c r="BM32" s="10"/>
      <c r="BN32">
        <f>SUMIFS($D32:$BM32,$D$9:$BM$9,$H$1)</f>
        <v>0</v>
      </c>
      <c r="BO32">
        <f>SUMIFS($D32:$BM32,$D$9:$BM$9,$H$2)</f>
        <v>0</v>
      </c>
      <c r="BP32">
        <f>BN32-BO32</f>
        <v>0</v>
      </c>
    </row>
    <row r="33" spans="2:68">
      <c r="B33" s="6" t="s">
        <v>58</v>
      </c>
      <c r="C33" s="6" t="s">
        <v>56</v>
      </c>
      <c r="D33" s="10"/>
      <c r="E33" s="10"/>
      <c r="H33" s="10"/>
      <c r="I33" s="10"/>
      <c r="L33" s="10"/>
      <c r="M33" s="10"/>
      <c r="P33" s="10"/>
      <c r="Q33" s="10"/>
      <c r="T33" s="10"/>
      <c r="U33" s="10"/>
      <c r="X33" s="10"/>
      <c r="Y33" s="10"/>
      <c r="AB33" s="10"/>
      <c r="AC33" s="10"/>
      <c r="AF33" s="10"/>
      <c r="AG33" s="10"/>
      <c r="AJ33" s="10"/>
      <c r="AK33" s="10"/>
      <c r="AN33" s="10"/>
      <c r="AO33" s="10"/>
      <c r="AR33" s="10"/>
      <c r="AS33" s="10"/>
      <c r="AV33" s="10"/>
      <c r="AW33" s="10"/>
      <c r="AZ33" s="10"/>
      <c r="BA33" s="10"/>
      <c r="BD33" s="10"/>
      <c r="BE33" s="10"/>
      <c r="BH33" s="10"/>
      <c r="BI33" s="10"/>
      <c r="BL33" s="10"/>
      <c r="BM33" s="10"/>
      <c r="BN33">
        <f>SUMIFS($D33:$BM33,$D$9:$BM$9,$H$1)</f>
        <v>0</v>
      </c>
      <c r="BO33">
        <f>SUMIFS($D33:$BM33,$D$9:$BM$9,$H$2)</f>
        <v>0</v>
      </c>
      <c r="BP33">
        <f>BN33-BO33</f>
        <v>0</v>
      </c>
    </row>
    <row r="34" spans="2:68">
      <c r="B34" s="6" t="s">
        <v>59</v>
      </c>
      <c r="C34" s="6" t="s">
        <v>56</v>
      </c>
      <c r="D34" s="10"/>
      <c r="E34" s="10"/>
      <c r="H34" s="10"/>
      <c r="I34" s="10"/>
      <c r="L34" s="10"/>
      <c r="M34" s="10"/>
      <c r="P34" s="10"/>
      <c r="Q34" s="10"/>
      <c r="T34" s="10"/>
      <c r="U34" s="10"/>
      <c r="X34" s="10"/>
      <c r="Y34" s="10"/>
      <c r="AB34" s="10"/>
      <c r="AC34" s="10"/>
      <c r="AF34" s="10"/>
      <c r="AG34" s="10"/>
      <c r="AJ34" s="10"/>
      <c r="AK34" s="10"/>
      <c r="AN34" s="10"/>
      <c r="AO34" s="10"/>
      <c r="AR34" s="10"/>
      <c r="AS34" s="10"/>
      <c r="AV34" s="10"/>
      <c r="AW34" s="10"/>
      <c r="AZ34" s="10"/>
      <c r="BA34" s="10"/>
      <c r="BD34" s="10"/>
      <c r="BE34" s="10"/>
      <c r="BH34" s="10"/>
      <c r="BI34" s="10"/>
      <c r="BL34" s="10"/>
      <c r="BM34" s="10"/>
      <c r="BN34">
        <f>SUMIFS($D34:$BM34,$D$9:$BM$9,$H$1)</f>
        <v>0</v>
      </c>
      <c r="BO34">
        <f>SUMIFS($D34:$BM34,$D$9:$BM$9,$H$2)</f>
        <v>0</v>
      </c>
      <c r="BP34">
        <f>BN34-BO34</f>
        <v>0</v>
      </c>
    </row>
    <row r="35" spans="2:68">
      <c r="B35" s="6" t="s">
        <v>60</v>
      </c>
      <c r="C35" s="6" t="s">
        <v>61</v>
      </c>
      <c r="D35" s="10"/>
      <c r="E35" s="10"/>
      <c r="H35" s="10"/>
      <c r="I35" s="10"/>
      <c r="L35" s="10"/>
      <c r="M35" s="10"/>
      <c r="P35" s="10"/>
      <c r="Q35" s="10"/>
      <c r="T35" s="10"/>
      <c r="U35" s="10"/>
      <c r="X35" s="10"/>
      <c r="Y35" s="10"/>
      <c r="AB35" s="10"/>
      <c r="AC35" s="10"/>
      <c r="AF35" s="10"/>
      <c r="AG35" s="10"/>
      <c r="AJ35" s="10"/>
      <c r="AK35" s="10"/>
      <c r="AN35" s="10"/>
      <c r="AO35" s="10"/>
      <c r="AR35" s="10"/>
      <c r="AS35" s="10"/>
      <c r="AV35" s="10"/>
      <c r="AW35" s="10"/>
      <c r="AZ35" s="10"/>
      <c r="BA35" s="10"/>
      <c r="BD35" s="10"/>
      <c r="BE35" s="10"/>
      <c r="BH35" s="10"/>
      <c r="BI35" s="10"/>
      <c r="BL35" s="10"/>
      <c r="BM35" s="10"/>
      <c r="BN35">
        <f>SUMIFS($D35:$BM35,$D$9:$BM$9,$H$1)</f>
        <v>0</v>
      </c>
      <c r="BO35">
        <f>SUMIFS($D35:$BM35,$D$9:$BM$9,$H$2)</f>
        <v>0</v>
      </c>
      <c r="BP35">
        <f>BN35-BO35</f>
        <v>0</v>
      </c>
    </row>
    <row r="36" spans="2:68">
      <c r="B36" s="6" t="s">
        <v>62</v>
      </c>
      <c r="C36" s="6" t="s">
        <v>63</v>
      </c>
      <c r="D36" s="10"/>
      <c r="E36" s="10"/>
      <c r="H36" s="10"/>
      <c r="I36" s="10"/>
      <c r="L36" s="10"/>
      <c r="M36" s="10"/>
      <c r="P36" s="10"/>
      <c r="Q36" s="10"/>
      <c r="T36" s="10"/>
      <c r="U36" s="10"/>
      <c r="X36" s="10"/>
      <c r="Y36" s="10"/>
      <c r="AB36" s="10"/>
      <c r="AC36" s="10"/>
      <c r="AF36" s="10"/>
      <c r="AG36" s="10"/>
      <c r="AJ36" s="10"/>
      <c r="AK36" s="10"/>
      <c r="AN36" s="10"/>
      <c r="AO36" s="10"/>
      <c r="AR36" s="10"/>
      <c r="AS36" s="10"/>
      <c r="AV36" s="10"/>
      <c r="AW36" s="10"/>
      <c r="AZ36" s="10"/>
      <c r="BA36" s="10"/>
      <c r="BD36" s="10"/>
      <c r="BE36" s="10"/>
      <c r="BH36" s="10"/>
      <c r="BI36" s="10"/>
      <c r="BL36" s="10"/>
      <c r="BM36" s="10"/>
      <c r="BN36">
        <f>SUMIFS($D36:$BM36,$D$9:$BM$9,$H$1)</f>
        <v>0</v>
      </c>
      <c r="BO36">
        <f>SUMIFS($D36:$BM36,$D$9:$BM$9,$H$2)</f>
        <v>0</v>
      </c>
      <c r="BP36">
        <f>BN36-BO36</f>
        <v>0</v>
      </c>
    </row>
    <row r="37" spans="2:68">
      <c r="B37" s="6" t="s">
        <v>64</v>
      </c>
      <c r="C37" s="6" t="s">
        <v>63</v>
      </c>
      <c r="D37" s="10"/>
      <c r="E37" s="10"/>
      <c r="H37" s="10"/>
      <c r="I37" s="10"/>
      <c r="L37" s="10"/>
      <c r="M37" s="10"/>
      <c r="P37" s="10"/>
      <c r="Q37" s="10"/>
      <c r="T37" s="10"/>
      <c r="U37" s="10"/>
      <c r="X37" s="10"/>
      <c r="Y37" s="10"/>
      <c r="AB37" s="10"/>
      <c r="AC37" s="10"/>
      <c r="AF37" s="10"/>
      <c r="AG37" s="10"/>
      <c r="AJ37" s="10"/>
      <c r="AK37" s="10"/>
      <c r="AN37" s="10"/>
      <c r="AO37" s="10"/>
      <c r="AR37" s="10"/>
      <c r="AS37" s="10"/>
      <c r="AV37" s="10"/>
      <c r="AW37" s="10"/>
      <c r="AZ37" s="10"/>
      <c r="BA37" s="10"/>
      <c r="BD37" s="10"/>
      <c r="BE37" s="10"/>
      <c r="BH37" s="10"/>
      <c r="BI37" s="10"/>
      <c r="BL37" s="10"/>
      <c r="BM37" s="10"/>
      <c r="BN37">
        <f>SUMIFS($D37:$BM37,$D$9:$BM$9,$H$1)</f>
        <v>0</v>
      </c>
      <c r="BO37">
        <f>SUMIFS($D37:$BM37,$D$9:$BM$9,$H$2)</f>
        <v>0</v>
      </c>
      <c r="BP37">
        <f>BN37-BO37</f>
        <v>0</v>
      </c>
    </row>
    <row r="38" spans="2:68">
      <c r="B38" s="6" t="s">
        <v>65</v>
      </c>
      <c r="C38" s="6" t="s">
        <v>66</v>
      </c>
      <c r="D38" s="10"/>
      <c r="E38" s="10"/>
      <c r="H38" s="10"/>
      <c r="I38" s="10"/>
      <c r="L38" s="10"/>
      <c r="M38" s="10"/>
      <c r="P38" s="10"/>
      <c r="Q38" s="10"/>
      <c r="T38" s="10"/>
      <c r="U38" s="10"/>
      <c r="X38" s="10"/>
      <c r="Y38" s="10"/>
      <c r="AB38" s="10"/>
      <c r="AC38" s="10"/>
      <c r="AF38" s="10"/>
      <c r="AG38" s="10"/>
      <c r="AJ38" s="10"/>
      <c r="AK38" s="10"/>
      <c r="AN38" s="10"/>
      <c r="AO38" s="10"/>
      <c r="AR38" s="10"/>
      <c r="AS38" s="10"/>
      <c r="AV38" s="10"/>
      <c r="AW38" s="10"/>
      <c r="AZ38" s="10"/>
      <c r="BA38" s="10"/>
      <c r="BD38" s="10"/>
      <c r="BE38" s="10"/>
      <c r="BH38" s="10"/>
      <c r="BI38" s="10"/>
      <c r="BL38" s="10"/>
      <c r="BM38" s="10"/>
      <c r="BN38">
        <f>SUMIFS($D38:$BM38,$D$9:$BM$9,$H$1)</f>
        <v>0</v>
      </c>
      <c r="BO38">
        <f>SUMIFS($D38:$BM38,$D$9:$BM$9,$H$2)</f>
        <v>0</v>
      </c>
      <c r="BP38">
        <f>BN38-BO38</f>
        <v>0</v>
      </c>
    </row>
    <row r="39" spans="2:68">
      <c r="B39" s="6" t="s">
        <v>67</v>
      </c>
      <c r="C39" s="6" t="s">
        <v>68</v>
      </c>
      <c r="D39" s="10"/>
      <c r="E39" s="10"/>
      <c r="H39" s="10"/>
      <c r="I39" s="10"/>
      <c r="L39" s="10"/>
      <c r="M39" s="10"/>
      <c r="P39" s="10"/>
      <c r="Q39" s="10"/>
      <c r="T39" s="10"/>
      <c r="U39" s="10"/>
      <c r="X39" s="10"/>
      <c r="Y39" s="10"/>
      <c r="AB39" s="10"/>
      <c r="AC39" s="10"/>
      <c r="AF39" s="10"/>
      <c r="AG39" s="10"/>
      <c r="AJ39" s="10"/>
      <c r="AK39" s="10"/>
      <c r="AN39" s="10"/>
      <c r="AO39" s="10"/>
      <c r="AR39" s="10"/>
      <c r="AS39" s="10"/>
      <c r="AV39" s="10"/>
      <c r="AW39" s="10"/>
      <c r="AZ39" s="10"/>
      <c r="BA39" s="10"/>
      <c r="BD39" s="10"/>
      <c r="BE39" s="10"/>
      <c r="BH39" s="10"/>
      <c r="BI39" s="10"/>
      <c r="BL39" s="10"/>
      <c r="BM39" s="10"/>
      <c r="BN39">
        <f>SUMIFS($D39:$BM39,$D$9:$BM$9,$H$1)</f>
        <v>0</v>
      </c>
      <c r="BO39">
        <f>SUMIFS($D39:$BM39,$D$9:$BM$9,$H$2)</f>
        <v>0</v>
      </c>
      <c r="BP39">
        <f>BN39-BO39</f>
        <v>0</v>
      </c>
    </row>
    <row r="40" spans="2:68">
      <c r="B40" s="6" t="s">
        <v>69</v>
      </c>
      <c r="C40" s="6" t="s">
        <v>70</v>
      </c>
      <c r="D40" s="10"/>
      <c r="E40" s="10"/>
      <c r="H40" s="10"/>
      <c r="I40" s="10"/>
      <c r="L40" s="10"/>
      <c r="M40" s="10"/>
      <c r="P40" s="10"/>
      <c r="Q40" s="10"/>
      <c r="T40" s="10"/>
      <c r="U40" s="10"/>
      <c r="X40" s="10"/>
      <c r="Y40" s="10"/>
      <c r="AB40" s="10"/>
      <c r="AC40" s="10"/>
      <c r="AF40" s="10"/>
      <c r="AG40" s="10"/>
      <c r="AJ40" s="10"/>
      <c r="AK40" s="10"/>
      <c r="AN40" s="10"/>
      <c r="AO40" s="10"/>
      <c r="AR40" s="10"/>
      <c r="AS40" s="10"/>
      <c r="AV40" s="10"/>
      <c r="AW40" s="10"/>
      <c r="AZ40" s="10"/>
      <c r="BA40" s="10"/>
      <c r="BD40" s="10"/>
      <c r="BE40" s="10"/>
      <c r="BH40" s="10"/>
      <c r="BI40" s="10"/>
      <c r="BL40" s="10"/>
      <c r="BM40" s="10"/>
      <c r="BN40">
        <f>SUMIFS($D40:$BM40,$D$9:$BM$9,$H$1)</f>
        <v>0</v>
      </c>
      <c r="BO40">
        <f>SUMIFS($D40:$BM40,$D$9:$BM$9,$H$2)</f>
        <v>0</v>
      </c>
      <c r="BP40">
        <f>BN40-BO40</f>
        <v>0</v>
      </c>
    </row>
    <row r="41" spans="2:68">
      <c r="B41" s="6" t="s">
        <v>71</v>
      </c>
      <c r="C41" s="6" t="s">
        <v>72</v>
      </c>
      <c r="D41" s="10"/>
      <c r="E41" s="10"/>
      <c r="H41" s="10"/>
      <c r="I41" s="10"/>
      <c r="L41" s="10"/>
      <c r="M41" s="10"/>
      <c r="P41" s="10"/>
      <c r="Q41" s="10"/>
      <c r="T41" s="10"/>
      <c r="U41" s="10"/>
      <c r="X41" s="10"/>
      <c r="Y41" s="10"/>
      <c r="AB41" s="10"/>
      <c r="AC41" s="10"/>
      <c r="AF41" s="10"/>
      <c r="AG41" s="10"/>
      <c r="AJ41" s="10"/>
      <c r="AK41" s="10"/>
      <c r="AN41" s="10"/>
      <c r="AO41" s="10"/>
      <c r="AR41" s="10"/>
      <c r="AS41" s="10"/>
      <c r="AV41" s="10"/>
      <c r="AW41" s="10"/>
      <c r="AZ41" s="10"/>
      <c r="BA41" s="10"/>
      <c r="BD41" s="10"/>
      <c r="BE41" s="10"/>
      <c r="BH41" s="10"/>
      <c r="BI41" s="10"/>
      <c r="BL41" s="10"/>
      <c r="BM41" s="10"/>
      <c r="BN41">
        <f>SUMIFS($D41:$BM41,$D$9:$BM$9,$H$1)</f>
        <v>0</v>
      </c>
      <c r="BO41">
        <f>SUMIFS($D41:$BM41,$D$9:$BM$9,$H$2)</f>
        <v>0</v>
      </c>
      <c r="BP41">
        <f>BN41-BO41</f>
        <v>0</v>
      </c>
    </row>
    <row r="42" spans="2:68">
      <c r="B42" s="6" t="s">
        <v>73</v>
      </c>
      <c r="C42" s="6" t="s">
        <v>74</v>
      </c>
      <c r="D42" s="10"/>
      <c r="E42" s="10"/>
      <c r="H42" s="10"/>
      <c r="I42" s="10"/>
      <c r="L42" s="10"/>
      <c r="M42" s="10"/>
      <c r="P42" s="10"/>
      <c r="Q42" s="10"/>
      <c r="T42" s="10"/>
      <c r="U42" s="10"/>
      <c r="X42" s="10"/>
      <c r="Y42" s="10"/>
      <c r="AB42" s="10"/>
      <c r="AC42" s="10"/>
      <c r="AF42" s="10"/>
      <c r="AG42" s="10"/>
      <c r="AJ42" s="10"/>
      <c r="AK42" s="10"/>
      <c r="AN42" s="10"/>
      <c r="AO42" s="10"/>
      <c r="AR42" s="10"/>
      <c r="AS42" s="10"/>
      <c r="AV42" s="10"/>
      <c r="AW42" s="10"/>
      <c r="AZ42" s="10"/>
      <c r="BA42" s="10"/>
      <c r="BD42" s="10"/>
      <c r="BE42" s="10"/>
      <c r="BH42" s="10"/>
      <c r="BI42" s="10"/>
      <c r="BL42" s="10"/>
      <c r="BM42" s="10"/>
      <c r="BN42">
        <f>SUMIFS($D42:$BM42,$D$9:$BM$9,$H$1)</f>
        <v>0</v>
      </c>
      <c r="BO42">
        <f>SUMIFS($D42:$BM42,$D$9:$BM$9,$H$2)</f>
        <v>0</v>
      </c>
      <c r="BP42">
        <f>BN42-BO42</f>
        <v>0</v>
      </c>
    </row>
    <row r="43" spans="2:68">
      <c r="B43" s="6" t="s">
        <v>75</v>
      </c>
      <c r="C43" s="6" t="s">
        <v>76</v>
      </c>
      <c r="D43" s="10"/>
      <c r="E43" s="10"/>
      <c r="H43" s="10"/>
      <c r="I43" s="10"/>
      <c r="L43" s="10"/>
      <c r="M43" s="10"/>
      <c r="P43" s="10"/>
      <c r="Q43" s="10"/>
      <c r="T43" s="10"/>
      <c r="U43" s="10"/>
      <c r="X43" s="10"/>
      <c r="Y43" s="10"/>
      <c r="AB43" s="10"/>
      <c r="AC43" s="10"/>
      <c r="AF43" s="10"/>
      <c r="AG43" s="10"/>
      <c r="AJ43" s="10"/>
      <c r="AK43" s="10"/>
      <c r="AN43" s="10"/>
      <c r="AO43" s="10"/>
      <c r="AR43" s="10"/>
      <c r="AS43" s="10"/>
      <c r="AV43" s="10"/>
      <c r="AW43" s="10"/>
      <c r="AZ43" s="10"/>
      <c r="BA43" s="10"/>
      <c r="BD43" s="10"/>
      <c r="BE43" s="10"/>
      <c r="BH43" s="10"/>
      <c r="BI43" s="10"/>
      <c r="BL43" s="10"/>
      <c r="BM43" s="10"/>
      <c r="BN43">
        <f>SUMIFS($D43:$BM43,$D$9:$BM$9,$H$1)</f>
        <v>0</v>
      </c>
      <c r="BO43">
        <f>SUMIFS($D43:$BM43,$D$9:$BM$9,$H$2)</f>
        <v>0</v>
      </c>
      <c r="BP43">
        <f>BN43-BO43</f>
        <v>0</v>
      </c>
    </row>
    <row r="44" spans="2:68">
      <c r="B44" s="6" t="s">
        <v>77</v>
      </c>
      <c r="C44" s="6" t="s">
        <v>78</v>
      </c>
      <c r="D44" s="10"/>
      <c r="E44" s="10"/>
      <c r="H44" s="10"/>
      <c r="I44" s="10"/>
      <c r="L44" s="10"/>
      <c r="M44" s="10"/>
      <c r="P44" s="10"/>
      <c r="Q44" s="10"/>
      <c r="T44" s="10"/>
      <c r="U44" s="10"/>
      <c r="X44" s="10"/>
      <c r="Y44" s="10"/>
      <c r="AB44" s="10"/>
      <c r="AC44" s="10"/>
      <c r="AF44" s="10"/>
      <c r="AG44" s="10"/>
      <c r="AJ44" s="10"/>
      <c r="AK44" s="10"/>
      <c r="AN44" s="10"/>
      <c r="AO44" s="10"/>
      <c r="AR44" s="10"/>
      <c r="AS44" s="10"/>
      <c r="AV44" s="10"/>
      <c r="AW44" s="10"/>
      <c r="AZ44" s="10"/>
      <c r="BA44" s="10"/>
      <c r="BD44" s="10"/>
      <c r="BE44" s="10"/>
      <c r="BH44" s="10"/>
      <c r="BI44" s="10"/>
      <c r="BL44" s="10"/>
      <c r="BM44" s="10"/>
      <c r="BN44">
        <f>SUMIFS($D44:$BM44,$D$9:$BM$9,$H$1)</f>
        <v>0</v>
      </c>
      <c r="BO44">
        <f>SUMIFS($D44:$BM44,$D$9:$BM$9,$H$2)</f>
        <v>0</v>
      </c>
      <c r="BP44">
        <f>BN44-BO44</f>
        <v>0</v>
      </c>
    </row>
    <row r="45" spans="2:68">
      <c r="B45" s="6" t="s">
        <v>79</v>
      </c>
      <c r="C45" s="6" t="s">
        <v>78</v>
      </c>
      <c r="D45" s="10"/>
      <c r="E45" s="10"/>
      <c r="H45" s="10"/>
      <c r="I45" s="10"/>
      <c r="L45" s="10"/>
      <c r="M45" s="10"/>
      <c r="P45" s="10"/>
      <c r="Q45" s="10"/>
      <c r="T45" s="10"/>
      <c r="U45" s="10"/>
      <c r="X45" s="10"/>
      <c r="Y45" s="10"/>
      <c r="AB45" s="10"/>
      <c r="AC45" s="10"/>
      <c r="AF45" s="10"/>
      <c r="AG45" s="10"/>
      <c r="AJ45" s="10"/>
      <c r="AK45" s="10"/>
      <c r="AN45" s="10"/>
      <c r="AO45" s="10"/>
      <c r="AR45" s="10"/>
      <c r="AS45" s="10"/>
      <c r="AV45" s="10"/>
      <c r="AW45" s="10"/>
      <c r="AZ45" s="10"/>
      <c r="BA45" s="10"/>
      <c r="BD45" s="10"/>
      <c r="BE45" s="10"/>
      <c r="BH45" s="10"/>
      <c r="BI45" s="10"/>
      <c r="BL45" s="10"/>
      <c r="BM45" s="10"/>
      <c r="BN45">
        <f>SUMIFS($D45:$BM45,$D$9:$BM$9,$H$1)</f>
        <v>0</v>
      </c>
      <c r="BO45">
        <f>SUMIFS($D45:$BM45,$D$9:$BM$9,$H$2)</f>
        <v>0</v>
      </c>
      <c r="BP45">
        <f>BN45-BO45</f>
        <v>0</v>
      </c>
    </row>
    <row r="46" spans="2:68">
      <c r="B46" s="6" t="s">
        <v>80</v>
      </c>
      <c r="C46" s="6" t="s">
        <v>81</v>
      </c>
      <c r="D46" s="10"/>
      <c r="E46" s="10"/>
      <c r="H46" s="10"/>
      <c r="I46" s="10"/>
      <c r="L46" s="10"/>
      <c r="M46" s="10"/>
      <c r="P46" s="10"/>
      <c r="Q46" s="10"/>
      <c r="T46" s="10"/>
      <c r="U46" s="10"/>
      <c r="X46" s="10"/>
      <c r="Y46" s="10"/>
      <c r="AB46" s="10"/>
      <c r="AC46" s="10"/>
      <c r="AF46" s="10"/>
      <c r="AG46" s="10"/>
      <c r="AJ46" s="10"/>
      <c r="AK46" s="10"/>
      <c r="AN46" s="10"/>
      <c r="AO46" s="10"/>
      <c r="AR46" s="10"/>
      <c r="AS46" s="10"/>
      <c r="AV46" s="10"/>
      <c r="AW46" s="10"/>
      <c r="AZ46" s="10"/>
      <c r="BA46" s="10"/>
      <c r="BD46" s="10"/>
      <c r="BE46" s="10"/>
      <c r="BH46" s="10"/>
      <c r="BI46" s="10"/>
      <c r="BL46" s="10"/>
      <c r="BM46" s="10"/>
      <c r="BN46">
        <f>SUMIFS($D46:$BM46,$D$9:$BM$9,$H$1)</f>
        <v>0</v>
      </c>
      <c r="BO46">
        <f>SUMIFS($D46:$BM46,$D$9:$BM$9,$H$2)</f>
        <v>0</v>
      </c>
      <c r="BP46">
        <f>BN46-BO46</f>
        <v>0</v>
      </c>
    </row>
    <row r="47" spans="2:68">
      <c r="B47" s="6" t="s">
        <v>82</v>
      </c>
      <c r="C47" s="6" t="s">
        <v>81</v>
      </c>
      <c r="D47" s="10"/>
      <c r="E47" s="10"/>
      <c r="H47" s="10"/>
      <c r="I47" s="10"/>
      <c r="L47" s="10"/>
      <c r="M47" s="10"/>
      <c r="P47" s="10"/>
      <c r="Q47" s="10"/>
      <c r="T47" s="10"/>
      <c r="U47" s="10"/>
      <c r="X47" s="10"/>
      <c r="Y47" s="10"/>
      <c r="AB47" s="10"/>
      <c r="AC47" s="10"/>
      <c r="AF47" s="10"/>
      <c r="AG47" s="10"/>
      <c r="AJ47" s="10"/>
      <c r="AK47" s="10"/>
      <c r="AN47" s="10"/>
      <c r="AO47" s="10"/>
      <c r="AR47" s="10"/>
      <c r="AS47" s="10"/>
      <c r="AV47" s="10"/>
      <c r="AW47" s="10"/>
      <c r="AZ47" s="10"/>
      <c r="BA47" s="10"/>
      <c r="BD47" s="10"/>
      <c r="BE47" s="10"/>
      <c r="BH47" s="10"/>
      <c r="BI47" s="10"/>
      <c r="BL47" s="10"/>
      <c r="BM47" s="10"/>
      <c r="BN47">
        <f>SUMIFS($D47:$BM47,$D$9:$BM$9,$H$1)</f>
        <v>0</v>
      </c>
      <c r="BO47">
        <f>SUMIFS($D47:$BM47,$D$9:$BM$9,$H$2)</f>
        <v>0</v>
      </c>
      <c r="BP47">
        <f>BN47-BO47</f>
        <v>0</v>
      </c>
    </row>
    <row r="48" spans="2:68">
      <c r="B48" s="6" t="s">
        <v>83</v>
      </c>
      <c r="C48" s="6" t="s">
        <v>84</v>
      </c>
      <c r="D48" s="15"/>
      <c r="E48" s="15"/>
      <c r="F48" s="9"/>
      <c r="G48" s="9"/>
      <c r="H48" s="15"/>
      <c r="I48" s="15"/>
      <c r="J48" s="9"/>
      <c r="K48" s="9"/>
      <c r="L48" s="15"/>
      <c r="M48" s="15"/>
      <c r="N48" s="9"/>
      <c r="O48" s="9"/>
      <c r="P48" s="15"/>
      <c r="Q48" s="15"/>
      <c r="R48" s="9"/>
      <c r="S48" s="9"/>
      <c r="T48" s="15"/>
      <c r="U48" s="15"/>
      <c r="V48" s="9"/>
      <c r="W48" s="9"/>
      <c r="X48" s="15"/>
      <c r="Y48" s="15"/>
      <c r="Z48" s="9"/>
      <c r="AA48" s="9"/>
      <c r="AB48" s="15"/>
      <c r="AC48" s="15"/>
      <c r="AD48" s="9"/>
      <c r="AE48" s="9"/>
      <c r="AF48" s="15"/>
      <c r="AG48" s="15"/>
      <c r="AH48" s="9"/>
      <c r="AI48" s="9"/>
      <c r="AJ48" s="15"/>
      <c r="AK48" s="15"/>
      <c r="AL48" s="9"/>
      <c r="AM48" s="9"/>
      <c r="AN48" s="15"/>
      <c r="AO48" s="15"/>
      <c r="AP48" s="9"/>
      <c r="AQ48" s="9"/>
      <c r="AR48" s="15"/>
      <c r="AS48" s="15"/>
      <c r="AT48" s="9"/>
      <c r="AU48" s="9"/>
      <c r="AV48" s="15"/>
      <c r="AW48" s="15"/>
      <c r="AX48" s="9"/>
      <c r="AY48" s="9"/>
      <c r="AZ48" s="15"/>
      <c r="BA48" s="15"/>
      <c r="BB48" s="9"/>
      <c r="BC48" s="9"/>
      <c r="BD48" s="15"/>
      <c r="BE48" s="15"/>
      <c r="BF48" s="9"/>
      <c r="BG48" s="9"/>
      <c r="BH48" s="15"/>
      <c r="BI48" s="15"/>
      <c r="BJ48" s="9"/>
      <c r="BK48" s="9"/>
      <c r="BL48" s="15"/>
      <c r="BM48" s="15"/>
      <c r="BN48">
        <f>SUMIFS($D48:$BM48,$D$9:$BM$9,$H$1)</f>
        <v>0</v>
      </c>
      <c r="BO48">
        <f>SUMIFS($D48:$BM48,$D$9:$BM$9,$H$2)</f>
        <v>0</v>
      </c>
      <c r="BP48">
        <f>BN48-BO48</f>
        <v>0</v>
      </c>
    </row>
    <row r="49" spans="2:68">
      <c r="B49" s="6" t="s">
        <v>85</v>
      </c>
      <c r="C49" s="6" t="s">
        <v>86</v>
      </c>
      <c r="D49" s="10"/>
      <c r="E49" s="10"/>
      <c r="H49" s="10"/>
      <c r="I49" s="10"/>
      <c r="L49" s="10"/>
      <c r="M49" s="10"/>
      <c r="P49" s="10"/>
      <c r="Q49" s="10"/>
      <c r="T49" s="10"/>
      <c r="U49" s="10"/>
      <c r="X49" s="10"/>
      <c r="Y49" s="10"/>
      <c r="AB49" s="10"/>
      <c r="AC49" s="10"/>
      <c r="AF49" s="10"/>
      <c r="AG49" s="10"/>
      <c r="AJ49" s="10"/>
      <c r="AK49" s="10"/>
      <c r="AN49" s="10"/>
      <c r="AO49" s="10"/>
      <c r="AR49" s="10"/>
      <c r="AS49" s="10"/>
      <c r="AV49" s="10"/>
      <c r="AW49" s="10"/>
      <c r="AZ49" s="10"/>
      <c r="BA49" s="10"/>
      <c r="BD49" s="10"/>
      <c r="BE49" s="10"/>
      <c r="BH49" s="10"/>
      <c r="BI49" s="10"/>
      <c r="BL49" s="10"/>
      <c r="BM49" s="10"/>
      <c r="BN49">
        <f>SUMIFS($D49:$BM49,$D$9:$BM$9,$H$1)</f>
        <v>0</v>
      </c>
      <c r="BO49">
        <f>SUMIFS($D49:$BM49,$D$9:$BM$9,$H$2)</f>
        <v>0</v>
      </c>
      <c r="BP49">
        <f>BN49-BO49</f>
        <v>0</v>
      </c>
    </row>
    <row r="50" spans="2:68">
      <c r="B50" s="6" t="s">
        <v>87</v>
      </c>
      <c r="C50" s="6" t="s">
        <v>88</v>
      </c>
      <c r="BN50">
        <f>SUMIFS($D50:$BM50,$D$9:$BM$9,$H$1)</f>
        <v>0</v>
      </c>
      <c r="BO50">
        <f>SUMIFS($D50:$BM50,$D$9:$BM$9,$H$2)</f>
        <v>0</v>
      </c>
      <c r="BP50">
        <f>BN50-BO50</f>
        <v>0</v>
      </c>
    </row>
    <row r="51" spans="2:68">
      <c r="B51" s="6" t="s">
        <v>89</v>
      </c>
      <c r="C51" s="6" t="s">
        <v>88</v>
      </c>
      <c r="BN51">
        <f>SUMIFS($D51:$BM51,$D$9:$BM$9,$H$1)</f>
        <v>0</v>
      </c>
      <c r="BO51">
        <f>SUMIFS($D51:$BM51,$D$9:$BM$9,$H$2)</f>
        <v>0</v>
      </c>
      <c r="BP51">
        <f>BN51-BO51</f>
        <v>0</v>
      </c>
    </row>
    <row r="52" spans="2:68">
      <c r="B52" s="6" t="s">
        <v>90</v>
      </c>
      <c r="C52" s="6" t="s">
        <v>91</v>
      </c>
      <c r="BN52">
        <f>SUMIFS($D52:$BM52,$D$9:$BM$9,$H$1)</f>
        <v>0</v>
      </c>
      <c r="BO52">
        <f>SUMIFS($D52:$BM52,$D$9:$BM$9,$H$2)</f>
        <v>0</v>
      </c>
      <c r="BP52">
        <f>BN52-BO52</f>
        <v>0</v>
      </c>
    </row>
    <row r="53" spans="2:68">
      <c r="B53" s="6" t="s">
        <v>92</v>
      </c>
      <c r="C53" s="6" t="s">
        <v>91</v>
      </c>
      <c r="BN53">
        <f>SUMIFS($D53:$BM53,$D$9:$BM$9,$H$1)</f>
        <v>0</v>
      </c>
      <c r="BO53">
        <f>SUMIFS($D53:$BM53,$D$9:$BM$9,$H$2)</f>
        <v>0</v>
      </c>
      <c r="BP53">
        <f>BN53-BO53</f>
        <v>0</v>
      </c>
    </row>
    <row r="54" spans="2:68">
      <c r="B54" s="6" t="s">
        <v>93</v>
      </c>
      <c r="C54" s="6" t="s">
        <v>94</v>
      </c>
      <c r="BN54">
        <f>SUMIFS($D54:$BM54,$D$9:$BM$9,$H$1)</f>
        <v>0</v>
      </c>
      <c r="BO54">
        <f>SUMIFS($D54:$BM54,$D$9:$BM$9,$H$2)</f>
        <v>0</v>
      </c>
      <c r="BP54">
        <f>BN54-BO54</f>
        <v>0</v>
      </c>
    </row>
    <row r="55" spans="2:68">
      <c r="B55" s="6" t="s">
        <v>95</v>
      </c>
      <c r="C55" s="6" t="s">
        <v>94</v>
      </c>
      <c r="BN55">
        <f>SUMIFS($D55:$BM55,$D$9:$BM$9,$H$1)</f>
        <v>0</v>
      </c>
      <c r="BO55">
        <f>SUMIFS($D55:$BM55,$D$9:$BM$9,$H$2)</f>
        <v>0</v>
      </c>
      <c r="BP55">
        <f>BN55-BO55</f>
        <v>0</v>
      </c>
    </row>
    <row r="56" spans="2:68">
      <c r="B56" s="6" t="s">
        <v>96</v>
      </c>
      <c r="C56" s="6" t="s">
        <v>97</v>
      </c>
      <c r="BN56">
        <f>SUMIFS($D56:$BM56,$D$9:$BM$9,$H$1)</f>
        <v>0</v>
      </c>
      <c r="BO56">
        <f>SUMIFS($D56:$BM56,$D$9:$BM$9,$H$2)</f>
        <v>0</v>
      </c>
      <c r="BP56">
        <f>BN56-BO56</f>
        <v>0</v>
      </c>
    </row>
    <row r="57" spans="2:68">
      <c r="B57" s="6" t="s">
        <v>98</v>
      </c>
      <c r="C57" s="6" t="s">
        <v>99</v>
      </c>
      <c r="BN57">
        <f>SUMIFS($D57:$BM57,$D$9:$BM$9,$H$1)</f>
        <v>0</v>
      </c>
      <c r="BO57">
        <f>SUMIFS($D57:$BM57,$D$9:$BM$9,$H$2)</f>
        <v>0</v>
      </c>
      <c r="BP57">
        <f>BN57-BO57</f>
        <v>0</v>
      </c>
    </row>
  </sheetData>
  <sortState xmlns:xlrd2="http://schemas.microsoft.com/office/spreadsheetml/2017/richdata2" ref="B10:BP57">
    <sortCondition descending="1" ref="BP10:BP57"/>
  </sortState>
  <mergeCells count="93">
    <mergeCell ref="AP7:AQ7"/>
    <mergeCell ref="AR7:AS7"/>
    <mergeCell ref="AT7:AU7"/>
    <mergeCell ref="AV7:AW7"/>
    <mergeCell ref="BL7:BM7"/>
    <mergeCell ref="AZ7:BA7"/>
    <mergeCell ref="BB7:BC7"/>
    <mergeCell ref="BD7:BE7"/>
    <mergeCell ref="BF7:BG7"/>
    <mergeCell ref="BH7:BI7"/>
    <mergeCell ref="BJ7:BK7"/>
    <mergeCell ref="P7:Q7"/>
    <mergeCell ref="R7:S7"/>
    <mergeCell ref="T7:U7"/>
    <mergeCell ref="V7:W7"/>
    <mergeCell ref="X7:Y7"/>
    <mergeCell ref="Z7:AA7"/>
    <mergeCell ref="BF6:BG6"/>
    <mergeCell ref="BH6:BI6"/>
    <mergeCell ref="BJ6:BK6"/>
    <mergeCell ref="BL6:BM6"/>
    <mergeCell ref="BB6:BC6"/>
    <mergeCell ref="BD6:BE6"/>
    <mergeCell ref="AF6:AG6"/>
    <mergeCell ref="AX7:AY7"/>
    <mergeCell ref="AB7:AC7"/>
    <mergeCell ref="AD7:AE7"/>
    <mergeCell ref="AF7:AG7"/>
    <mergeCell ref="AH7:AI7"/>
    <mergeCell ref="AJ7:AK7"/>
    <mergeCell ref="AL7:AM7"/>
    <mergeCell ref="AN7:AO7"/>
    <mergeCell ref="D7:E7"/>
    <mergeCell ref="F7:G7"/>
    <mergeCell ref="H7:I7"/>
    <mergeCell ref="J7:K7"/>
    <mergeCell ref="L7:M7"/>
    <mergeCell ref="N7:O7"/>
    <mergeCell ref="AT6:AU6"/>
    <mergeCell ref="AV6:AW6"/>
    <mergeCell ref="AX6:AY6"/>
    <mergeCell ref="AZ6:BA6"/>
    <mergeCell ref="AH6:AI6"/>
    <mergeCell ref="AJ6:AK6"/>
    <mergeCell ref="AL6:AM6"/>
    <mergeCell ref="AN6:AO6"/>
    <mergeCell ref="AP6:AQ6"/>
    <mergeCell ref="AR6:AS6"/>
    <mergeCell ref="V6:W6"/>
    <mergeCell ref="X6:Y6"/>
    <mergeCell ref="Z6:AA6"/>
    <mergeCell ref="AB6:AC6"/>
    <mergeCell ref="AD6:AE6"/>
    <mergeCell ref="BL5:BM5"/>
    <mergeCell ref="D6:E6"/>
    <mergeCell ref="F6:G6"/>
    <mergeCell ref="H6:I6"/>
    <mergeCell ref="J6:K6"/>
    <mergeCell ref="L6:M6"/>
    <mergeCell ref="N6:O6"/>
    <mergeCell ref="P6:Q6"/>
    <mergeCell ref="R6:S6"/>
    <mergeCell ref="T6:U6"/>
    <mergeCell ref="AZ5:BA5"/>
    <mergeCell ref="BB5:BC5"/>
    <mergeCell ref="BD5:BE5"/>
    <mergeCell ref="BF5:BG5"/>
    <mergeCell ref="BH5:BI5"/>
    <mergeCell ref="BJ5:BK5"/>
    <mergeCell ref="AX5:AY5"/>
    <mergeCell ref="AB5:AC5"/>
    <mergeCell ref="AD5:AE5"/>
    <mergeCell ref="AF5:AG5"/>
    <mergeCell ref="AH5:AI5"/>
    <mergeCell ref="AJ5:AK5"/>
    <mergeCell ref="AL5:AM5"/>
    <mergeCell ref="AN5:AO5"/>
    <mergeCell ref="AP5:AQ5"/>
    <mergeCell ref="AR5:AS5"/>
    <mergeCell ref="AT5:AU5"/>
    <mergeCell ref="AV5:AW5"/>
    <mergeCell ref="Z5:AA5"/>
    <mergeCell ref="D5:E5"/>
    <mergeCell ref="F5:G5"/>
    <mergeCell ref="H5:I5"/>
    <mergeCell ref="J5:K5"/>
    <mergeCell ref="L5:M5"/>
    <mergeCell ref="N5:O5"/>
    <mergeCell ref="P5:Q5"/>
    <mergeCell ref="R5:S5"/>
    <mergeCell ref="T5:U5"/>
    <mergeCell ref="V5:W5"/>
    <mergeCell ref="X5:Y5"/>
  </mergeCells>
  <conditionalFormatting sqref="A9:XFD9">
    <cfRule type="cellIs" dxfId="17" priority="3" operator="equal">
      <formula>"J"</formula>
    </cfRule>
    <cfRule type="cellIs" dxfId="16" priority="4" operator="equal">
      <formula>"A"</formula>
    </cfRule>
  </conditionalFormatting>
  <conditionalFormatting sqref="B10:BP60">
    <cfRule type="expression" dxfId="15" priority="2">
      <formula>MOD(ROW(),2)</formula>
    </cfRule>
  </conditionalFormatting>
  <conditionalFormatting sqref="BP10:BP57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{BAFA5CDB-E4EF-417E-AFD2-B64DE54C54AB}</x14:id>
        </ext>
      </extLst>
    </cfRule>
  </conditionalFormatting>
  <dataValidations count="1">
    <dataValidation type="whole" allowBlank="1" showInputMessage="1" showErrorMessage="1" error="Attention: Entier compris entre 0 et 12 !" sqref="D10:BM49" xr:uid="{C4C2B13E-4D3A-4905-80C5-9724B081ACA2}">
      <formula1>0</formula1>
      <formula2>12</formula2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130" orientation="portrait" r:id="rId1"/>
  <headerFooter>
    <oddFooter>&amp;L&amp;D - &amp;T&amp;RMois de &amp;A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AFA5CDB-E4EF-417E-AFD2-B64DE54C54A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BP10:BP57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4D55A-A081-44FA-9EE7-D3D941B1DC43}">
  <sheetPr codeName="Feuil10"/>
  <dimension ref="B1:BQ57"/>
  <sheetViews>
    <sheetView showGridLines="0" showRowColHeaders="0" zoomScaleNormal="100" workbookViewId="0">
      <pane xSplit="3" ySplit="9" topLeftCell="AL10" activePane="bottomRight" state="frozen"/>
      <selection pane="bottomRight" activeCell="BN6" sqref="BN6:BP6"/>
      <selection pane="bottomLeft" activeCell="CC17" sqref="CC17"/>
      <selection pane="topRight" activeCell="CC17" sqref="CC17"/>
    </sheetView>
  </sheetViews>
  <sheetFormatPr defaultColWidth="11.42578125" defaultRowHeight="15"/>
  <cols>
    <col min="1" max="1" width="2.42578125" customWidth="1"/>
    <col min="2" max="2" width="32.140625" style="6" customWidth="1"/>
    <col min="3" max="3" width="22.42578125" style="6" customWidth="1"/>
    <col min="4" max="65" width="3.7109375" customWidth="1"/>
    <col min="66" max="66" width="4.42578125" bestFit="1" customWidth="1"/>
    <col min="67" max="67" width="4.28515625" customWidth="1"/>
    <col min="68" max="68" width="7.42578125" bestFit="1" customWidth="1"/>
    <col min="69" max="69" width="7.7109375" customWidth="1"/>
    <col min="70" max="105" width="3.7109375" customWidth="1"/>
  </cols>
  <sheetData>
    <row r="1" spans="2:69">
      <c r="H1" s="4" t="s">
        <v>0</v>
      </c>
      <c r="I1" t="s">
        <v>1</v>
      </c>
      <c r="N1" t="s">
        <v>2</v>
      </c>
      <c r="O1" t="s">
        <v>3</v>
      </c>
    </row>
    <row r="2" spans="2:69">
      <c r="H2" s="5" t="s">
        <v>4</v>
      </c>
      <c r="I2" t="s">
        <v>5</v>
      </c>
      <c r="N2" t="s">
        <v>6</v>
      </c>
      <c r="O2" t="s">
        <v>7</v>
      </c>
    </row>
    <row r="3" spans="2:69">
      <c r="N3" t="s">
        <v>8</v>
      </c>
      <c r="O3" t="s">
        <v>9</v>
      </c>
    </row>
    <row r="4" spans="2:69">
      <c r="B4" s="12"/>
      <c r="C4" s="12"/>
    </row>
    <row r="5" spans="2:69" s="2" customFormat="1">
      <c r="B5" s="13"/>
      <c r="C5" s="13"/>
      <c r="D5" s="45">
        <v>1</v>
      </c>
      <c r="E5" s="45"/>
      <c r="F5" s="45">
        <v>2</v>
      </c>
      <c r="G5" s="45"/>
      <c r="H5" s="45">
        <v>3</v>
      </c>
      <c r="I5" s="45"/>
      <c r="J5" s="45">
        <v>4</v>
      </c>
      <c r="K5" s="45"/>
      <c r="L5" s="45">
        <v>5</v>
      </c>
      <c r="M5" s="45"/>
      <c r="N5" s="45">
        <v>6</v>
      </c>
      <c r="O5" s="45"/>
      <c r="P5" s="45">
        <v>7</v>
      </c>
      <c r="Q5" s="45"/>
      <c r="R5" s="45">
        <v>8</v>
      </c>
      <c r="S5" s="45"/>
      <c r="T5" s="45">
        <v>9</v>
      </c>
      <c r="U5" s="45"/>
      <c r="V5" s="45">
        <v>10</v>
      </c>
      <c r="W5" s="45"/>
      <c r="X5" s="45">
        <v>11</v>
      </c>
      <c r="Y5" s="45"/>
      <c r="Z5" s="45">
        <v>12</v>
      </c>
      <c r="AA5" s="45"/>
      <c r="AB5" s="45">
        <v>13</v>
      </c>
      <c r="AC5" s="45"/>
      <c r="AD5" s="45">
        <v>14</v>
      </c>
      <c r="AE5" s="45"/>
      <c r="AF5" s="45">
        <v>15</v>
      </c>
      <c r="AG5" s="45"/>
      <c r="AH5" s="45">
        <v>16</v>
      </c>
      <c r="AI5" s="45"/>
      <c r="AJ5" s="45">
        <v>17</v>
      </c>
      <c r="AK5" s="45"/>
      <c r="AL5" s="45">
        <v>18</v>
      </c>
      <c r="AM5" s="45"/>
      <c r="AN5" s="45">
        <v>19</v>
      </c>
      <c r="AO5" s="45"/>
      <c r="AP5" s="45">
        <v>20</v>
      </c>
      <c r="AQ5" s="45"/>
      <c r="AR5" s="45">
        <v>21</v>
      </c>
      <c r="AS5" s="45"/>
      <c r="AT5" s="45">
        <v>22</v>
      </c>
      <c r="AU5" s="45"/>
      <c r="AV5" s="45">
        <v>23</v>
      </c>
      <c r="AW5" s="45"/>
      <c r="AX5" s="45">
        <v>24</v>
      </c>
      <c r="AY5" s="45"/>
      <c r="AZ5" s="45">
        <v>25</v>
      </c>
      <c r="BA5" s="45"/>
      <c r="BB5" s="45">
        <v>26</v>
      </c>
      <c r="BC5" s="45"/>
      <c r="BD5" s="45">
        <v>27</v>
      </c>
      <c r="BE5" s="45"/>
      <c r="BF5" s="45">
        <v>28</v>
      </c>
      <c r="BG5" s="45"/>
      <c r="BH5" s="45">
        <v>29</v>
      </c>
      <c r="BI5" s="45"/>
      <c r="BJ5" s="45">
        <v>30</v>
      </c>
      <c r="BK5" s="45"/>
      <c r="BL5" s="45">
        <v>31</v>
      </c>
      <c r="BM5" s="45"/>
      <c r="BQ5" s="6" t="s">
        <v>10</v>
      </c>
    </row>
    <row r="6" spans="2:69">
      <c r="D6" s="49" t="str">
        <f t="shared" ref="D6:BL6" si="0">TEXT(WEEKDAY(DATE($BQ$6,8,D$5),1),"jjj")</f>
        <v>sam.</v>
      </c>
      <c r="E6" s="49"/>
      <c r="F6" s="49" t="str">
        <f t="shared" si="0"/>
        <v>dim.</v>
      </c>
      <c r="G6" s="49"/>
      <c r="H6" s="49" t="str">
        <f t="shared" si="0"/>
        <v>lun.</v>
      </c>
      <c r="I6" s="49"/>
      <c r="J6" s="49" t="str">
        <f t="shared" si="0"/>
        <v>mar.</v>
      </c>
      <c r="K6" s="49"/>
      <c r="L6" s="49" t="str">
        <f t="shared" si="0"/>
        <v>mer.</v>
      </c>
      <c r="M6" s="49"/>
      <c r="N6" s="49" t="str">
        <f t="shared" si="0"/>
        <v>jeu.</v>
      </c>
      <c r="O6" s="49"/>
      <c r="P6" s="49" t="str">
        <f t="shared" si="0"/>
        <v>ven.</v>
      </c>
      <c r="Q6" s="49"/>
      <c r="R6" s="49" t="str">
        <f t="shared" si="0"/>
        <v>sam.</v>
      </c>
      <c r="S6" s="49"/>
      <c r="T6" s="49" t="str">
        <f t="shared" si="0"/>
        <v>dim.</v>
      </c>
      <c r="U6" s="49"/>
      <c r="V6" s="49" t="str">
        <f t="shared" si="0"/>
        <v>lun.</v>
      </c>
      <c r="W6" s="49"/>
      <c r="X6" s="49" t="str">
        <f t="shared" si="0"/>
        <v>mar.</v>
      </c>
      <c r="Y6" s="49"/>
      <c r="Z6" s="49" t="str">
        <f t="shared" si="0"/>
        <v>mer.</v>
      </c>
      <c r="AA6" s="49"/>
      <c r="AB6" s="49" t="str">
        <f t="shared" si="0"/>
        <v>jeu.</v>
      </c>
      <c r="AC6" s="49"/>
      <c r="AD6" s="49" t="str">
        <f t="shared" si="0"/>
        <v>ven.</v>
      </c>
      <c r="AE6" s="49"/>
      <c r="AF6" s="49" t="str">
        <f t="shared" si="0"/>
        <v>sam.</v>
      </c>
      <c r="AG6" s="49"/>
      <c r="AH6" s="49" t="str">
        <f t="shared" si="0"/>
        <v>dim.</v>
      </c>
      <c r="AI6" s="49"/>
      <c r="AJ6" s="49" t="str">
        <f t="shared" si="0"/>
        <v>lun.</v>
      </c>
      <c r="AK6" s="49"/>
      <c r="AL6" s="49" t="str">
        <f t="shared" si="0"/>
        <v>mar.</v>
      </c>
      <c r="AM6" s="49"/>
      <c r="AN6" s="49" t="str">
        <f t="shared" si="0"/>
        <v>mer.</v>
      </c>
      <c r="AO6" s="49"/>
      <c r="AP6" s="49" t="str">
        <f t="shared" si="0"/>
        <v>jeu.</v>
      </c>
      <c r="AQ6" s="49"/>
      <c r="AR6" s="49" t="str">
        <f t="shared" si="0"/>
        <v>ven.</v>
      </c>
      <c r="AS6" s="49"/>
      <c r="AT6" s="49" t="str">
        <f t="shared" si="0"/>
        <v>sam.</v>
      </c>
      <c r="AU6" s="49"/>
      <c r="AV6" s="49" t="str">
        <f t="shared" si="0"/>
        <v>dim.</v>
      </c>
      <c r="AW6" s="49"/>
      <c r="AX6" s="49" t="str">
        <f t="shared" si="0"/>
        <v>lun.</v>
      </c>
      <c r="AY6" s="49"/>
      <c r="AZ6" s="49" t="str">
        <f t="shared" si="0"/>
        <v>mar.</v>
      </c>
      <c r="BA6" s="49"/>
      <c r="BB6" s="49" t="str">
        <f t="shared" si="0"/>
        <v>mer.</v>
      </c>
      <c r="BC6" s="49"/>
      <c r="BD6" s="49" t="str">
        <f t="shared" si="0"/>
        <v>jeu.</v>
      </c>
      <c r="BE6" s="49"/>
      <c r="BF6" s="49" t="str">
        <f t="shared" si="0"/>
        <v>ven.</v>
      </c>
      <c r="BG6" s="49"/>
      <c r="BH6" s="49" t="str">
        <f t="shared" si="0"/>
        <v>sam.</v>
      </c>
      <c r="BI6" s="49"/>
      <c r="BJ6" s="49" t="str">
        <f t="shared" si="0"/>
        <v>dim.</v>
      </c>
      <c r="BK6" s="49"/>
      <c r="BL6" s="49" t="str">
        <f t="shared" si="0"/>
        <v>lun.</v>
      </c>
      <c r="BM6" s="49"/>
      <c r="BN6" s="14" t="str">
        <f>Janvier!BN6</f>
        <v>LIAGE 3</v>
      </c>
      <c r="BO6" s="14"/>
      <c r="BP6" s="14"/>
      <c r="BQ6" s="7">
        <f>Janvier!BQ6</f>
        <v>2020</v>
      </c>
    </row>
    <row r="7" spans="2:69">
      <c r="B7" s="30" t="s">
        <v>112</v>
      </c>
      <c r="C7" s="1"/>
      <c r="D7" s="47">
        <v>1</v>
      </c>
      <c r="E7" s="48"/>
      <c r="F7" s="47">
        <v>2</v>
      </c>
      <c r="G7" s="48"/>
      <c r="H7" s="47">
        <v>3</v>
      </c>
      <c r="I7" s="48"/>
      <c r="J7" s="47">
        <v>4</v>
      </c>
      <c r="K7" s="48"/>
      <c r="L7" s="47">
        <v>5</v>
      </c>
      <c r="M7" s="48"/>
      <c r="N7" s="47">
        <v>6</v>
      </c>
      <c r="O7" s="48"/>
      <c r="P7" s="47">
        <v>7</v>
      </c>
      <c r="Q7" s="48"/>
      <c r="R7" s="47">
        <v>8</v>
      </c>
      <c r="S7" s="48"/>
      <c r="T7" s="47">
        <v>9</v>
      </c>
      <c r="U7" s="48"/>
      <c r="V7" s="47">
        <v>10</v>
      </c>
      <c r="W7" s="48"/>
      <c r="X7" s="47">
        <v>11</v>
      </c>
      <c r="Y7" s="48"/>
      <c r="Z7" s="47">
        <v>12</v>
      </c>
      <c r="AA7" s="48"/>
      <c r="AB7" s="47">
        <v>13</v>
      </c>
      <c r="AC7" s="48"/>
      <c r="AD7" s="47">
        <v>14</v>
      </c>
      <c r="AE7" s="48"/>
      <c r="AF7" s="47">
        <v>15</v>
      </c>
      <c r="AG7" s="48"/>
      <c r="AH7" s="47">
        <v>16</v>
      </c>
      <c r="AI7" s="48"/>
      <c r="AJ7" s="47">
        <v>17</v>
      </c>
      <c r="AK7" s="48"/>
      <c r="AL7" s="47">
        <v>18</v>
      </c>
      <c r="AM7" s="48"/>
      <c r="AN7" s="47">
        <v>19</v>
      </c>
      <c r="AO7" s="48"/>
      <c r="AP7" s="47">
        <v>20</v>
      </c>
      <c r="AQ7" s="48"/>
      <c r="AR7" s="47">
        <v>21</v>
      </c>
      <c r="AS7" s="48"/>
      <c r="AT7" s="47">
        <v>22</v>
      </c>
      <c r="AU7" s="48"/>
      <c r="AV7" s="47">
        <v>23</v>
      </c>
      <c r="AW7" s="48"/>
      <c r="AX7" s="47">
        <v>24</v>
      </c>
      <c r="AY7" s="48"/>
      <c r="AZ7" s="47">
        <v>25</v>
      </c>
      <c r="BA7" s="48"/>
      <c r="BB7" s="47">
        <v>26</v>
      </c>
      <c r="BC7" s="48"/>
      <c r="BD7" s="47">
        <v>27</v>
      </c>
      <c r="BE7" s="48"/>
      <c r="BF7" s="47">
        <v>28</v>
      </c>
      <c r="BG7" s="48"/>
      <c r="BH7" s="47">
        <v>29</v>
      </c>
      <c r="BI7" s="48"/>
      <c r="BJ7" s="47">
        <v>30</v>
      </c>
      <c r="BK7" s="48"/>
      <c r="BL7" s="47">
        <v>31</v>
      </c>
      <c r="BM7" s="48"/>
    </row>
    <row r="8" spans="2:69" s="11" customFormat="1">
      <c r="B8" s="8"/>
      <c r="C8" s="8" t="s">
        <v>113</v>
      </c>
      <c r="D8" s="16"/>
      <c r="E8" s="17"/>
      <c r="F8" s="18"/>
      <c r="G8" s="17"/>
      <c r="H8" s="19"/>
      <c r="I8" s="20"/>
      <c r="J8" s="19"/>
      <c r="K8" s="20"/>
      <c r="L8" s="19"/>
      <c r="M8" s="20"/>
      <c r="N8" s="19"/>
      <c r="O8" s="20"/>
      <c r="P8" s="19"/>
      <c r="Q8" s="20"/>
      <c r="R8" s="19"/>
      <c r="S8" s="20"/>
      <c r="T8" s="19"/>
      <c r="U8" s="20"/>
      <c r="V8" s="19"/>
      <c r="W8" s="20"/>
      <c r="X8" s="19"/>
      <c r="Y8" s="20"/>
      <c r="Z8" s="19"/>
      <c r="AA8" s="20"/>
      <c r="AB8" s="19"/>
      <c r="AC8" s="20"/>
      <c r="AD8" s="19"/>
      <c r="AE8" s="20"/>
      <c r="AF8" s="19"/>
      <c r="AG8" s="20"/>
      <c r="AH8" s="19"/>
      <c r="AI8" s="20"/>
      <c r="AJ8" s="19"/>
      <c r="AK8" s="20"/>
      <c r="AL8" s="19"/>
      <c r="AM8" s="20"/>
      <c r="AN8" s="19"/>
      <c r="AO8" s="20"/>
      <c r="AP8" s="19"/>
      <c r="AQ8" s="20"/>
      <c r="AR8" s="19"/>
      <c r="AS8" s="20"/>
      <c r="AT8" s="19"/>
      <c r="AU8" s="20"/>
      <c r="AV8" s="19"/>
      <c r="AW8" s="20"/>
      <c r="AX8" s="19"/>
      <c r="AY8" s="20"/>
      <c r="AZ8" s="19"/>
      <c r="BA8" s="20"/>
      <c r="BB8" s="19"/>
      <c r="BC8" s="20"/>
      <c r="BD8" s="19"/>
      <c r="BE8" s="20"/>
      <c r="BF8" s="19"/>
      <c r="BG8" s="20"/>
      <c r="BH8" s="19"/>
      <c r="BI8" s="20"/>
      <c r="BJ8" s="19"/>
      <c r="BK8" s="20"/>
      <c r="BL8" s="19"/>
      <c r="BM8" s="21"/>
      <c r="BN8">
        <f>SUM(BN10:BN49)</f>
        <v>71</v>
      </c>
      <c r="BO8">
        <f>SUM(BO10:BO49)</f>
        <v>27</v>
      </c>
      <c r="BP8">
        <f>SUM(BP10:BP49)</f>
        <v>44</v>
      </c>
    </row>
    <row r="9" spans="2:69" s="3" customFormat="1" ht="12" customHeight="1">
      <c r="B9" s="23" t="s">
        <v>14</v>
      </c>
      <c r="C9" s="23" t="s">
        <v>15</v>
      </c>
      <c r="D9" s="24" t="str">
        <f>$H$1</f>
        <v>A</v>
      </c>
      <c r="E9" s="25" t="str">
        <f>$H$2</f>
        <v>J</v>
      </c>
      <c r="F9" s="26" t="str">
        <f>$H$1</f>
        <v>A</v>
      </c>
      <c r="G9" s="27" t="str">
        <f>$H$2</f>
        <v>J</v>
      </c>
      <c r="H9" s="28" t="str">
        <f>$H$1</f>
        <v>A</v>
      </c>
      <c r="I9" s="25" t="str">
        <f>$H$2</f>
        <v>J</v>
      </c>
      <c r="J9" s="26" t="str">
        <f>$H$1</f>
        <v>A</v>
      </c>
      <c r="K9" s="27" t="str">
        <f>$H$2</f>
        <v>J</v>
      </c>
      <c r="L9" s="28" t="str">
        <f>$H$1</f>
        <v>A</v>
      </c>
      <c r="M9" s="25" t="str">
        <f>$H$2</f>
        <v>J</v>
      </c>
      <c r="N9" s="26" t="str">
        <f>$H$1</f>
        <v>A</v>
      </c>
      <c r="O9" s="27" t="str">
        <f>$H$2</f>
        <v>J</v>
      </c>
      <c r="P9" s="28" t="str">
        <f>$H$1</f>
        <v>A</v>
      </c>
      <c r="Q9" s="25" t="str">
        <f>$H$2</f>
        <v>J</v>
      </c>
      <c r="R9" s="26" t="str">
        <f>$H$1</f>
        <v>A</v>
      </c>
      <c r="S9" s="27" t="str">
        <f>$H$2</f>
        <v>J</v>
      </c>
      <c r="T9" s="28" t="str">
        <f>$H$1</f>
        <v>A</v>
      </c>
      <c r="U9" s="25" t="str">
        <f>$H$2</f>
        <v>J</v>
      </c>
      <c r="V9" s="26" t="str">
        <f>$H$1</f>
        <v>A</v>
      </c>
      <c r="W9" s="27" t="str">
        <f>$H$2</f>
        <v>J</v>
      </c>
      <c r="X9" s="28" t="str">
        <f>$H$1</f>
        <v>A</v>
      </c>
      <c r="Y9" s="25" t="str">
        <f>$H$2</f>
        <v>J</v>
      </c>
      <c r="Z9" s="26" t="str">
        <f>$H$1</f>
        <v>A</v>
      </c>
      <c r="AA9" s="27" t="str">
        <f>$H$2</f>
        <v>J</v>
      </c>
      <c r="AB9" s="28" t="str">
        <f>$H$1</f>
        <v>A</v>
      </c>
      <c r="AC9" s="25" t="str">
        <f>$H$2</f>
        <v>J</v>
      </c>
      <c r="AD9" s="26" t="str">
        <f>$H$1</f>
        <v>A</v>
      </c>
      <c r="AE9" s="27" t="str">
        <f>$H$2</f>
        <v>J</v>
      </c>
      <c r="AF9" s="28" t="str">
        <f>$H$1</f>
        <v>A</v>
      </c>
      <c r="AG9" s="25" t="str">
        <f>$H$2</f>
        <v>J</v>
      </c>
      <c r="AH9" s="26" t="str">
        <f>$H$1</f>
        <v>A</v>
      </c>
      <c r="AI9" s="27" t="str">
        <f>$H$2</f>
        <v>J</v>
      </c>
      <c r="AJ9" s="28" t="str">
        <f>$H$1</f>
        <v>A</v>
      </c>
      <c r="AK9" s="25" t="str">
        <f>$H$2</f>
        <v>J</v>
      </c>
      <c r="AL9" s="26" t="str">
        <f>$H$1</f>
        <v>A</v>
      </c>
      <c r="AM9" s="27" t="str">
        <f>$H$2</f>
        <v>J</v>
      </c>
      <c r="AN9" s="28" t="str">
        <f>$H$1</f>
        <v>A</v>
      </c>
      <c r="AO9" s="25" t="str">
        <f>$H$2</f>
        <v>J</v>
      </c>
      <c r="AP9" s="26" t="str">
        <f>$H$1</f>
        <v>A</v>
      </c>
      <c r="AQ9" s="27" t="str">
        <f>$H$2</f>
        <v>J</v>
      </c>
      <c r="AR9" s="28" t="str">
        <f>$H$1</f>
        <v>A</v>
      </c>
      <c r="AS9" s="25" t="str">
        <f>$H$2</f>
        <v>J</v>
      </c>
      <c r="AT9" s="26" t="str">
        <f>$H$1</f>
        <v>A</v>
      </c>
      <c r="AU9" s="27" t="str">
        <f>$H$2</f>
        <v>J</v>
      </c>
      <c r="AV9" s="28" t="str">
        <f>$H$1</f>
        <v>A</v>
      </c>
      <c r="AW9" s="25" t="str">
        <f>$H$2</f>
        <v>J</v>
      </c>
      <c r="AX9" s="26" t="str">
        <f>$H$1</f>
        <v>A</v>
      </c>
      <c r="AY9" s="27" t="str">
        <f>$H$2</f>
        <v>J</v>
      </c>
      <c r="AZ9" s="28" t="str">
        <f>$H$1</f>
        <v>A</v>
      </c>
      <c r="BA9" s="25" t="str">
        <f>$H$2</f>
        <v>J</v>
      </c>
      <c r="BB9" s="26" t="str">
        <f>$H$1</f>
        <v>A</v>
      </c>
      <c r="BC9" s="27" t="str">
        <f>$H$2</f>
        <v>J</v>
      </c>
      <c r="BD9" s="28" t="str">
        <f>$H$1</f>
        <v>A</v>
      </c>
      <c r="BE9" s="25" t="str">
        <f>$H$2</f>
        <v>J</v>
      </c>
      <c r="BF9" s="26" t="str">
        <f>$H$1</f>
        <v>A</v>
      </c>
      <c r="BG9" s="27" t="str">
        <f>$H$2</f>
        <v>J</v>
      </c>
      <c r="BH9" s="28" t="str">
        <f>$H$1</f>
        <v>A</v>
      </c>
      <c r="BI9" s="25" t="str">
        <f>$H$2</f>
        <v>J</v>
      </c>
      <c r="BJ9" s="26" t="str">
        <f>$H$1</f>
        <v>A</v>
      </c>
      <c r="BK9" s="27" t="str">
        <f>$H$2</f>
        <v>J</v>
      </c>
      <c r="BL9" s="28" t="str">
        <f>$H$1</f>
        <v>A</v>
      </c>
      <c r="BM9" s="24" t="str">
        <f>$H$2</f>
        <v>J</v>
      </c>
      <c r="BN9" s="29" t="s">
        <v>2</v>
      </c>
      <c r="BO9" s="29" t="s">
        <v>6</v>
      </c>
      <c r="BP9" s="29" t="s">
        <v>8</v>
      </c>
    </row>
    <row r="10" spans="2:69">
      <c r="B10" s="6" t="s">
        <v>16</v>
      </c>
      <c r="C10" s="6" t="s">
        <v>17</v>
      </c>
      <c r="D10" s="10"/>
      <c r="E10" s="15"/>
      <c r="F10" s="9"/>
      <c r="G10" s="9"/>
      <c r="H10" s="15"/>
      <c r="I10" s="15"/>
      <c r="J10" s="9"/>
      <c r="K10" s="9"/>
      <c r="L10" s="15"/>
      <c r="M10" s="15"/>
      <c r="N10" s="9"/>
      <c r="O10" s="9"/>
      <c r="P10" s="15"/>
      <c r="Q10" s="15"/>
      <c r="R10" s="9"/>
      <c r="S10" s="9"/>
      <c r="T10" s="15"/>
      <c r="U10" s="15"/>
      <c r="V10" s="9"/>
      <c r="W10" s="9"/>
      <c r="X10" s="15"/>
      <c r="Y10" s="15"/>
      <c r="Z10" s="9"/>
      <c r="AA10" s="9"/>
      <c r="AB10" s="15"/>
      <c r="AC10" s="15"/>
      <c r="AD10" s="9"/>
      <c r="AE10" s="9"/>
      <c r="AF10" s="15"/>
      <c r="AG10" s="15"/>
      <c r="AH10" s="9"/>
      <c r="AI10" s="9"/>
      <c r="AJ10" s="15"/>
      <c r="AK10" s="15"/>
      <c r="AL10" s="9"/>
      <c r="AM10" s="9"/>
      <c r="AN10" s="15">
        <v>7</v>
      </c>
      <c r="AO10" s="15"/>
      <c r="AP10" s="9">
        <v>5</v>
      </c>
      <c r="AQ10" s="9">
        <v>1</v>
      </c>
      <c r="AR10" s="15"/>
      <c r="AS10" s="15"/>
      <c r="AT10" s="9"/>
      <c r="AU10" s="9"/>
      <c r="AV10" s="15"/>
      <c r="AW10" s="15"/>
      <c r="AX10" s="9">
        <v>8</v>
      </c>
      <c r="AY10" s="9"/>
      <c r="AZ10" s="15"/>
      <c r="BA10" s="15"/>
      <c r="BB10" s="15"/>
      <c r="BC10" s="9"/>
      <c r="BD10" s="15"/>
      <c r="BE10" s="15"/>
      <c r="BF10" s="15"/>
      <c r="BG10" s="9"/>
      <c r="BH10" s="15"/>
      <c r="BI10" s="15"/>
      <c r="BJ10" s="9"/>
      <c r="BK10" s="9"/>
      <c r="BL10" s="15"/>
      <c r="BM10" s="10"/>
      <c r="BN10">
        <f>SUMIFS($D10:$BM10,$D$9:$BM$9,$H$1)</f>
        <v>20</v>
      </c>
      <c r="BO10">
        <f>SUMIFS($D10:$BM10,$D$9:$BM$9,$H$2)</f>
        <v>1</v>
      </c>
      <c r="BP10">
        <f>BN10-BO10</f>
        <v>19</v>
      </c>
    </row>
    <row r="11" spans="2:69">
      <c r="B11" s="6" t="s">
        <v>18</v>
      </c>
      <c r="C11" s="6" t="s">
        <v>19</v>
      </c>
      <c r="D11" s="10">
        <v>8</v>
      </c>
      <c r="E11" s="15">
        <v>8</v>
      </c>
      <c r="F11" s="9">
        <v>7</v>
      </c>
      <c r="G11" s="9">
        <v>1</v>
      </c>
      <c r="H11" s="15">
        <v>10</v>
      </c>
      <c r="I11" s="15"/>
      <c r="J11" s="15"/>
      <c r="K11" s="9"/>
      <c r="L11" s="15"/>
      <c r="M11" s="15"/>
      <c r="N11" s="9"/>
      <c r="O11" s="9"/>
      <c r="P11" s="15"/>
      <c r="Q11" s="15"/>
      <c r="R11" s="15"/>
      <c r="S11" s="9"/>
      <c r="T11" s="15"/>
      <c r="U11" s="15"/>
      <c r="V11" s="9"/>
      <c r="W11" s="9"/>
      <c r="X11" s="15"/>
      <c r="Y11" s="15"/>
      <c r="Z11" s="9"/>
      <c r="AA11" s="9"/>
      <c r="AB11" s="15"/>
      <c r="AC11" s="15"/>
      <c r="AD11" s="9"/>
      <c r="AE11" s="9"/>
      <c r="AF11" s="15"/>
      <c r="AG11" s="15"/>
      <c r="AH11" s="9"/>
      <c r="AI11" s="9"/>
      <c r="AJ11" s="15"/>
      <c r="AK11" s="15"/>
      <c r="AL11" s="9"/>
      <c r="AM11" s="9"/>
      <c r="AN11" s="15"/>
      <c r="AO11" s="15"/>
      <c r="AP11" s="9"/>
      <c r="AQ11" s="9"/>
      <c r="AR11" s="15"/>
      <c r="AS11" s="15"/>
      <c r="AT11" s="9"/>
      <c r="AU11" s="9"/>
      <c r="AV11" s="15"/>
      <c r="AW11" s="15"/>
      <c r="AX11" s="9"/>
      <c r="AY11" s="9"/>
      <c r="AZ11" s="15"/>
      <c r="BA11" s="15"/>
      <c r="BB11" s="9"/>
      <c r="BC11" s="9"/>
      <c r="BD11" s="15"/>
      <c r="BE11" s="15"/>
      <c r="BF11" s="9"/>
      <c r="BG11" s="9"/>
      <c r="BH11" s="15"/>
      <c r="BI11" s="15"/>
      <c r="BJ11" s="9"/>
      <c r="BK11" s="9"/>
      <c r="BL11" s="15"/>
      <c r="BM11" s="10"/>
      <c r="BN11">
        <f>SUMIFS($D11:$BM11,$D$9:$BM$9,$H$1)</f>
        <v>25</v>
      </c>
      <c r="BO11">
        <f>SUMIFS($D11:$BM11,$D$9:$BM$9,$H$2)</f>
        <v>9</v>
      </c>
      <c r="BP11">
        <f>BN11-BO11</f>
        <v>16</v>
      </c>
    </row>
    <row r="12" spans="2:69">
      <c r="B12" s="6" t="s">
        <v>20</v>
      </c>
      <c r="C12" s="6" t="s">
        <v>21</v>
      </c>
      <c r="D12" s="10">
        <v>8</v>
      </c>
      <c r="E12" s="15">
        <v>2</v>
      </c>
      <c r="F12" s="9"/>
      <c r="G12" s="9"/>
      <c r="H12" s="15"/>
      <c r="I12" s="15">
        <v>6</v>
      </c>
      <c r="J12" s="9">
        <v>3</v>
      </c>
      <c r="K12" s="9"/>
      <c r="L12" s="15"/>
      <c r="M12" s="15"/>
      <c r="N12" s="9"/>
      <c r="O12" s="9"/>
      <c r="P12" s="15"/>
      <c r="Q12" s="15"/>
      <c r="R12" s="9"/>
      <c r="S12" s="9"/>
      <c r="T12" s="15">
        <v>7</v>
      </c>
      <c r="U12" s="15">
        <v>1</v>
      </c>
      <c r="V12" s="9"/>
      <c r="W12" s="9"/>
      <c r="X12" s="15">
        <v>8</v>
      </c>
      <c r="Y12" s="15">
        <v>8</v>
      </c>
      <c r="Z12" s="9"/>
      <c r="AA12" s="9"/>
      <c r="AB12" s="15"/>
      <c r="AC12" s="15"/>
      <c r="AD12" s="9"/>
      <c r="AE12" s="9"/>
      <c r="AF12" s="15"/>
      <c r="AG12" s="15"/>
      <c r="AH12" s="9"/>
      <c r="AI12" s="9"/>
      <c r="AJ12" s="15"/>
      <c r="AK12" s="15"/>
      <c r="AL12" s="9"/>
      <c r="AM12" s="9"/>
      <c r="AN12" s="15"/>
      <c r="AO12" s="15"/>
      <c r="AP12" s="9"/>
      <c r="AQ12" s="9"/>
      <c r="AR12" s="15"/>
      <c r="AS12" s="15"/>
      <c r="AT12" s="9"/>
      <c r="AU12" s="9"/>
      <c r="AV12" s="15"/>
      <c r="AW12" s="15"/>
      <c r="AX12" s="9"/>
      <c r="AY12" s="9"/>
      <c r="AZ12" s="15"/>
      <c r="BA12" s="15"/>
      <c r="BB12" s="9"/>
      <c r="BC12" s="9"/>
      <c r="BD12" s="15"/>
      <c r="BE12" s="15"/>
      <c r="BF12" s="9"/>
      <c r="BG12" s="9"/>
      <c r="BH12" s="15"/>
      <c r="BI12" s="15"/>
      <c r="BJ12" s="9"/>
      <c r="BK12" s="9"/>
      <c r="BL12" s="15"/>
      <c r="BM12" s="10"/>
      <c r="BN12">
        <f>SUMIFS($D12:$BM12,$D$9:$BM$9,$H$1)</f>
        <v>26</v>
      </c>
      <c r="BO12">
        <f>SUMIFS($D12:$BM12,$D$9:$BM$9,$H$2)</f>
        <v>17</v>
      </c>
      <c r="BP12">
        <f>BN12-BO12</f>
        <v>9</v>
      </c>
    </row>
    <row r="13" spans="2:69">
      <c r="B13" s="6" t="s">
        <v>22</v>
      </c>
      <c r="C13" s="6" t="s">
        <v>23</v>
      </c>
      <c r="D13" s="10"/>
      <c r="E13" s="10"/>
      <c r="H13" s="10"/>
      <c r="I13" s="10"/>
      <c r="L13" s="10"/>
      <c r="M13" s="10"/>
      <c r="P13" s="10"/>
      <c r="Q13" s="10"/>
      <c r="T13" s="10"/>
      <c r="U13" s="10"/>
      <c r="X13" s="10"/>
      <c r="Y13" s="10"/>
      <c r="AB13" s="10"/>
      <c r="AC13" s="10"/>
      <c r="AF13" s="10"/>
      <c r="AG13" s="10"/>
      <c r="AJ13" s="10"/>
      <c r="AK13" s="10"/>
      <c r="AN13" s="10"/>
      <c r="AO13" s="10"/>
      <c r="AR13" s="10"/>
      <c r="AS13" s="10"/>
      <c r="AV13" s="10"/>
      <c r="AW13" s="10"/>
      <c r="AZ13" s="10"/>
      <c r="BA13" s="10"/>
      <c r="BD13" s="10"/>
      <c r="BE13" s="10"/>
      <c r="BH13" s="10"/>
      <c r="BI13" s="10"/>
      <c r="BL13" s="10"/>
      <c r="BM13" s="10"/>
      <c r="BN13">
        <f>SUMIFS($D13:$BM13,$D$9:$BM$9,$H$1)</f>
        <v>0</v>
      </c>
      <c r="BO13">
        <f>SUMIFS($D13:$BM13,$D$9:$BM$9,$H$2)</f>
        <v>0</v>
      </c>
      <c r="BP13">
        <f>BN13-BO13</f>
        <v>0</v>
      </c>
    </row>
    <row r="14" spans="2:69">
      <c r="B14" s="6" t="s">
        <v>24</v>
      </c>
      <c r="C14" s="6" t="s">
        <v>25</v>
      </c>
      <c r="D14" s="15"/>
      <c r="E14" s="15"/>
      <c r="F14" s="9"/>
      <c r="G14" s="9"/>
      <c r="H14" s="15"/>
      <c r="I14" s="15"/>
      <c r="J14" s="9"/>
      <c r="K14" s="9"/>
      <c r="L14" s="15"/>
      <c r="M14" s="15"/>
      <c r="N14" s="9"/>
      <c r="O14" s="9"/>
      <c r="P14" s="15"/>
      <c r="Q14" s="15"/>
      <c r="R14" s="9"/>
      <c r="S14" s="9"/>
      <c r="T14" s="15"/>
      <c r="U14" s="15"/>
      <c r="V14" s="9"/>
      <c r="W14" s="9"/>
      <c r="X14" s="15"/>
      <c r="Y14" s="15"/>
      <c r="Z14" s="9"/>
      <c r="AA14" s="9"/>
      <c r="AB14" s="15"/>
      <c r="AC14" s="15"/>
      <c r="AD14" s="9"/>
      <c r="AE14" s="9"/>
      <c r="AF14" s="15"/>
      <c r="AG14" s="15"/>
      <c r="AH14" s="9"/>
      <c r="AI14" s="9"/>
      <c r="AJ14" s="15"/>
      <c r="AK14" s="15"/>
      <c r="AL14" s="9"/>
      <c r="AM14" s="9"/>
      <c r="AN14" s="15"/>
      <c r="AO14" s="15"/>
      <c r="AP14" s="9"/>
      <c r="AQ14" s="9"/>
      <c r="AR14" s="15"/>
      <c r="AS14" s="15"/>
      <c r="AT14" s="9"/>
      <c r="AU14" s="9"/>
      <c r="AV14" s="15"/>
      <c r="AW14" s="15"/>
      <c r="AX14" s="9"/>
      <c r="AY14" s="9"/>
      <c r="AZ14" s="15"/>
      <c r="BA14" s="15"/>
      <c r="BB14" s="9"/>
      <c r="BC14" s="9"/>
      <c r="BD14" s="15"/>
      <c r="BE14" s="15"/>
      <c r="BF14" s="9"/>
      <c r="BG14" s="9"/>
      <c r="BH14" s="15"/>
      <c r="BI14" s="15"/>
      <c r="BJ14" s="9"/>
      <c r="BK14" s="9"/>
      <c r="BL14" s="15"/>
      <c r="BM14" s="15"/>
      <c r="BN14">
        <f>SUMIFS($D14:$BM14,$D$9:$BM$9,$H$1)</f>
        <v>0</v>
      </c>
      <c r="BO14">
        <f>SUMIFS($D14:$BM14,$D$9:$BM$9,$H$2)</f>
        <v>0</v>
      </c>
      <c r="BP14">
        <f>BN14-BO14</f>
        <v>0</v>
      </c>
    </row>
    <row r="15" spans="2:69">
      <c r="B15" s="6" t="s">
        <v>26</v>
      </c>
      <c r="C15" s="6" t="s">
        <v>27</v>
      </c>
      <c r="D15" s="10"/>
      <c r="E15" s="15"/>
      <c r="F15" s="9"/>
      <c r="G15" s="9"/>
      <c r="H15" s="15"/>
      <c r="I15" s="15"/>
      <c r="J15" s="9"/>
      <c r="K15" s="9"/>
      <c r="L15" s="15"/>
      <c r="M15" s="15"/>
      <c r="N15" s="9"/>
      <c r="O15" s="9"/>
      <c r="P15" s="15"/>
      <c r="Q15" s="15"/>
      <c r="R15" s="9"/>
      <c r="S15" s="9"/>
      <c r="T15" s="15"/>
      <c r="U15" s="15"/>
      <c r="V15" s="9"/>
      <c r="W15" s="9"/>
      <c r="X15" s="15"/>
      <c r="Y15" s="15"/>
      <c r="Z15" s="9"/>
      <c r="AA15" s="9"/>
      <c r="AB15" s="15"/>
      <c r="AC15" s="15"/>
      <c r="AD15" s="9"/>
      <c r="AE15" s="9"/>
      <c r="AF15" s="15"/>
      <c r="AG15" s="15"/>
      <c r="AH15" s="9"/>
      <c r="AI15" s="9"/>
      <c r="AJ15" s="15"/>
      <c r="AK15" s="15"/>
      <c r="AL15" s="9"/>
      <c r="AM15" s="9"/>
      <c r="AN15" s="15"/>
      <c r="AO15" s="15"/>
      <c r="AP15" s="9"/>
      <c r="AQ15" s="9"/>
      <c r="AR15" s="15"/>
      <c r="AS15" s="15"/>
      <c r="AT15" s="9"/>
      <c r="AU15" s="9"/>
      <c r="AV15" s="15"/>
      <c r="AW15" s="15"/>
      <c r="AX15" s="9"/>
      <c r="AY15" s="9"/>
      <c r="AZ15" s="15"/>
      <c r="BA15" s="15"/>
      <c r="BB15" s="9"/>
      <c r="BC15" s="9"/>
      <c r="BD15" s="15"/>
      <c r="BE15" s="15"/>
      <c r="BF15" s="9"/>
      <c r="BG15" s="9"/>
      <c r="BH15" s="15"/>
      <c r="BI15" s="15"/>
      <c r="BJ15" s="9"/>
      <c r="BK15" s="9"/>
      <c r="BL15" s="15"/>
      <c r="BM15" s="10"/>
      <c r="BN15">
        <f>SUMIFS($D15:$BM15,$D$9:$BM$9,$H$1)</f>
        <v>0</v>
      </c>
      <c r="BO15">
        <f>SUMIFS($D15:$BM15,$D$9:$BM$9,$H$2)</f>
        <v>0</v>
      </c>
      <c r="BP15">
        <f>BN15-BO15</f>
        <v>0</v>
      </c>
    </row>
    <row r="16" spans="2:69">
      <c r="B16" s="6" t="s">
        <v>28</v>
      </c>
      <c r="C16" s="6" t="s">
        <v>27</v>
      </c>
      <c r="D16" s="10"/>
      <c r="E16" s="15"/>
      <c r="F16" s="9"/>
      <c r="G16" s="9"/>
      <c r="H16" s="15"/>
      <c r="I16" s="15"/>
      <c r="J16" s="9"/>
      <c r="K16" s="9"/>
      <c r="L16" s="15"/>
      <c r="M16" s="15"/>
      <c r="N16" s="9"/>
      <c r="O16" s="9"/>
      <c r="P16" s="15"/>
      <c r="Q16" s="15"/>
      <c r="R16" s="9"/>
      <c r="S16" s="9"/>
      <c r="T16" s="15"/>
      <c r="U16" s="15"/>
      <c r="V16" s="9"/>
      <c r="W16" s="9"/>
      <c r="X16" s="15"/>
      <c r="Y16" s="15"/>
      <c r="Z16" s="9"/>
      <c r="AA16" s="9"/>
      <c r="AB16" s="15"/>
      <c r="AC16" s="15"/>
      <c r="AD16" s="9"/>
      <c r="AE16" s="9"/>
      <c r="AF16" s="15"/>
      <c r="AG16" s="15"/>
      <c r="AH16" s="9"/>
      <c r="AI16" s="9"/>
      <c r="AJ16" s="15"/>
      <c r="AK16" s="15"/>
      <c r="AL16" s="9"/>
      <c r="AM16" s="9"/>
      <c r="AN16" s="15"/>
      <c r="AO16" s="15"/>
      <c r="AP16" s="9"/>
      <c r="AQ16" s="9"/>
      <c r="AR16" s="15"/>
      <c r="AS16" s="15"/>
      <c r="AT16" s="9"/>
      <c r="AU16" s="9"/>
      <c r="AV16" s="15"/>
      <c r="AW16" s="15"/>
      <c r="AX16" s="9"/>
      <c r="AY16" s="9"/>
      <c r="AZ16" s="15"/>
      <c r="BA16" s="15"/>
      <c r="BB16" s="9"/>
      <c r="BC16" s="9"/>
      <c r="BD16" s="15"/>
      <c r="BE16" s="15"/>
      <c r="BF16" s="9"/>
      <c r="BG16" s="9"/>
      <c r="BH16" s="15"/>
      <c r="BI16" s="15"/>
      <c r="BJ16" s="9"/>
      <c r="BK16" s="9"/>
      <c r="BL16" s="15"/>
      <c r="BM16" s="10"/>
      <c r="BN16">
        <f>SUMIFS($D16:$BM16,$D$9:$BM$9,$H$1)</f>
        <v>0</v>
      </c>
      <c r="BO16">
        <f>SUMIFS($D16:$BM16,$D$9:$BM$9,$H$2)</f>
        <v>0</v>
      </c>
      <c r="BP16">
        <f>BN16-BO16</f>
        <v>0</v>
      </c>
    </row>
    <row r="17" spans="2:68">
      <c r="B17" s="6" t="s">
        <v>29</v>
      </c>
      <c r="C17" s="6" t="s">
        <v>30</v>
      </c>
      <c r="D17" s="10"/>
      <c r="E17" s="10"/>
      <c r="H17" s="10"/>
      <c r="I17" s="10"/>
      <c r="L17" s="10"/>
      <c r="M17" s="10"/>
      <c r="P17" s="10"/>
      <c r="Q17" s="10"/>
      <c r="T17" s="10"/>
      <c r="U17" s="10"/>
      <c r="X17" s="10"/>
      <c r="Y17" s="10"/>
      <c r="AB17" s="10"/>
      <c r="AC17" s="10"/>
      <c r="AF17" s="10"/>
      <c r="AG17" s="10"/>
      <c r="AJ17" s="10"/>
      <c r="AK17" s="10"/>
      <c r="AN17" s="10"/>
      <c r="AO17" s="10"/>
      <c r="AR17" s="10"/>
      <c r="AS17" s="10"/>
      <c r="AV17" s="10"/>
      <c r="AW17" s="10"/>
      <c r="AZ17" s="10"/>
      <c r="BA17" s="10"/>
      <c r="BD17" s="10"/>
      <c r="BE17" s="10"/>
      <c r="BH17" s="10"/>
      <c r="BI17" s="10"/>
      <c r="BL17" s="10"/>
      <c r="BM17" s="10"/>
      <c r="BN17">
        <f>SUMIFS($D17:$BM17,$D$9:$BM$9,$H$1)</f>
        <v>0</v>
      </c>
      <c r="BO17">
        <f>SUMIFS($D17:$BM17,$D$9:$BM$9,$H$2)</f>
        <v>0</v>
      </c>
      <c r="BP17">
        <f>BN17-BO17</f>
        <v>0</v>
      </c>
    </row>
    <row r="18" spans="2:68">
      <c r="B18" s="6" t="s">
        <v>31</v>
      </c>
      <c r="C18" s="6" t="s">
        <v>32</v>
      </c>
      <c r="D18" s="10"/>
      <c r="E18" s="10"/>
      <c r="H18" s="10"/>
      <c r="I18" s="10"/>
      <c r="L18" s="10"/>
      <c r="M18" s="10"/>
      <c r="P18" s="10"/>
      <c r="Q18" s="10"/>
      <c r="T18" s="10"/>
      <c r="U18" s="10"/>
      <c r="X18" s="10"/>
      <c r="Y18" s="10"/>
      <c r="AB18" s="10"/>
      <c r="AC18" s="10"/>
      <c r="AF18" s="10"/>
      <c r="AG18" s="10"/>
      <c r="AJ18" s="10"/>
      <c r="AK18" s="10"/>
      <c r="AN18" s="10"/>
      <c r="AO18" s="10"/>
      <c r="AR18" s="10"/>
      <c r="AS18" s="10"/>
      <c r="AV18" s="10"/>
      <c r="AW18" s="10"/>
      <c r="AZ18" s="10"/>
      <c r="BA18" s="10"/>
      <c r="BD18" s="10"/>
      <c r="BE18" s="10"/>
      <c r="BH18" s="10"/>
      <c r="BI18" s="10"/>
      <c r="BL18" s="10"/>
      <c r="BM18" s="10"/>
      <c r="BN18">
        <f>SUMIFS($D18:$BM18,$D$9:$BM$9,$H$1)</f>
        <v>0</v>
      </c>
      <c r="BO18">
        <f>SUMIFS($D18:$BM18,$D$9:$BM$9,$H$2)</f>
        <v>0</v>
      </c>
      <c r="BP18">
        <f>BN18-BO18</f>
        <v>0</v>
      </c>
    </row>
    <row r="19" spans="2:68">
      <c r="B19" s="6" t="s">
        <v>33</v>
      </c>
      <c r="C19" s="6" t="s">
        <v>34</v>
      </c>
      <c r="D19" s="10"/>
      <c r="E19" s="10"/>
      <c r="H19" s="10"/>
      <c r="I19" s="10"/>
      <c r="L19" s="10"/>
      <c r="M19" s="10"/>
      <c r="P19" s="10"/>
      <c r="Q19" s="10"/>
      <c r="T19" s="10"/>
      <c r="U19" s="10"/>
      <c r="X19" s="10"/>
      <c r="Y19" s="10"/>
      <c r="AB19" s="10"/>
      <c r="AC19" s="10"/>
      <c r="AF19" s="10"/>
      <c r="AG19" s="10"/>
      <c r="AJ19" s="10"/>
      <c r="AK19" s="10"/>
      <c r="AN19" s="10"/>
      <c r="AO19" s="10"/>
      <c r="AR19" s="10"/>
      <c r="AS19" s="10"/>
      <c r="AV19" s="10"/>
      <c r="AW19" s="10"/>
      <c r="AZ19" s="10"/>
      <c r="BA19" s="10"/>
      <c r="BD19" s="10"/>
      <c r="BE19" s="10"/>
      <c r="BH19" s="10"/>
      <c r="BI19" s="10"/>
      <c r="BL19" s="10"/>
      <c r="BM19" s="10"/>
      <c r="BN19">
        <f>SUMIFS($D19:$BM19,$D$9:$BM$9,$H$1)</f>
        <v>0</v>
      </c>
      <c r="BO19">
        <f>SUMIFS($D19:$BM19,$D$9:$BM$9,$H$2)</f>
        <v>0</v>
      </c>
      <c r="BP19">
        <f>BN19-BO19</f>
        <v>0</v>
      </c>
    </row>
    <row r="20" spans="2:68">
      <c r="B20" s="6" t="s">
        <v>35</v>
      </c>
      <c r="C20" s="6" t="s">
        <v>36</v>
      </c>
      <c r="D20" s="10"/>
      <c r="E20" s="15"/>
      <c r="F20" s="9"/>
      <c r="G20" s="9"/>
      <c r="H20" s="15"/>
      <c r="I20" s="15"/>
      <c r="J20" s="9"/>
      <c r="K20" s="9"/>
      <c r="L20" s="15"/>
      <c r="M20" s="15"/>
      <c r="N20" s="9"/>
      <c r="O20" s="9"/>
      <c r="P20" s="15"/>
      <c r="Q20" s="15"/>
      <c r="R20" s="9"/>
      <c r="S20" s="9"/>
      <c r="T20" s="15"/>
      <c r="U20" s="15"/>
      <c r="V20" s="9"/>
      <c r="W20" s="9"/>
      <c r="X20" s="15"/>
      <c r="Y20" s="15"/>
      <c r="Z20" s="9"/>
      <c r="AA20" s="9"/>
      <c r="AB20" s="15"/>
      <c r="AC20" s="15"/>
      <c r="AD20" s="9"/>
      <c r="AE20" s="9"/>
      <c r="AF20" s="15"/>
      <c r="AG20" s="15"/>
      <c r="AH20" s="9"/>
      <c r="AI20" s="9"/>
      <c r="AJ20" s="15"/>
      <c r="AK20" s="15"/>
      <c r="AL20" s="9"/>
      <c r="AM20" s="9"/>
      <c r="AN20" s="15"/>
      <c r="AO20" s="15"/>
      <c r="AP20" s="9"/>
      <c r="AQ20" s="9"/>
      <c r="AR20" s="15"/>
      <c r="AS20" s="15"/>
      <c r="AT20" s="9"/>
      <c r="AU20" s="9"/>
      <c r="AV20" s="15"/>
      <c r="AW20" s="15"/>
      <c r="AX20" s="9"/>
      <c r="AY20" s="9"/>
      <c r="AZ20" s="15"/>
      <c r="BA20" s="15"/>
      <c r="BB20" s="9"/>
      <c r="BC20" s="9"/>
      <c r="BD20" s="15"/>
      <c r="BE20" s="15"/>
      <c r="BF20" s="9"/>
      <c r="BG20" s="9"/>
      <c r="BH20" s="15"/>
      <c r="BI20" s="15"/>
      <c r="BJ20" s="9"/>
      <c r="BK20" s="9"/>
      <c r="BL20" s="15"/>
      <c r="BM20" s="10"/>
      <c r="BN20">
        <f>SUMIFS($D20:$BM20,$D$9:$BM$9,$H$1)</f>
        <v>0</v>
      </c>
      <c r="BO20">
        <f>SUMIFS($D20:$BM20,$D$9:$BM$9,$H$2)</f>
        <v>0</v>
      </c>
      <c r="BP20">
        <f>BN20-BO20</f>
        <v>0</v>
      </c>
    </row>
    <row r="21" spans="2:68">
      <c r="B21" s="6" t="s">
        <v>37</v>
      </c>
      <c r="C21" s="6" t="s">
        <v>38</v>
      </c>
      <c r="D21" s="10"/>
      <c r="E21" s="10"/>
      <c r="H21" s="10"/>
      <c r="I21" s="10"/>
      <c r="L21" s="10"/>
      <c r="M21" s="10"/>
      <c r="P21" s="10"/>
      <c r="Q21" s="10"/>
      <c r="T21" s="10"/>
      <c r="U21" s="10"/>
      <c r="X21" s="10"/>
      <c r="Y21" s="10"/>
      <c r="AB21" s="10"/>
      <c r="AC21" s="10"/>
      <c r="AF21" s="10"/>
      <c r="AG21" s="10"/>
      <c r="AJ21" s="10"/>
      <c r="AK21" s="10"/>
      <c r="AN21" s="10"/>
      <c r="AO21" s="10"/>
      <c r="AR21" s="10"/>
      <c r="AS21" s="10"/>
      <c r="AV21" s="10"/>
      <c r="AW21" s="10"/>
      <c r="AZ21" s="10"/>
      <c r="BA21" s="10"/>
      <c r="BD21" s="10"/>
      <c r="BE21" s="10"/>
      <c r="BH21" s="10"/>
      <c r="BI21" s="10"/>
      <c r="BL21" s="10"/>
      <c r="BM21" s="10"/>
      <c r="BN21">
        <f>SUMIFS($D21:$BM21,$D$9:$BM$9,$H$1)</f>
        <v>0</v>
      </c>
      <c r="BO21">
        <f>SUMIFS($D21:$BM21,$D$9:$BM$9,$H$2)</f>
        <v>0</v>
      </c>
      <c r="BP21">
        <f>BN21-BO21</f>
        <v>0</v>
      </c>
    </row>
    <row r="22" spans="2:68">
      <c r="B22" s="6" t="s">
        <v>39</v>
      </c>
      <c r="C22" s="6" t="s">
        <v>40</v>
      </c>
      <c r="D22" s="10"/>
      <c r="E22" s="10"/>
      <c r="H22" s="10"/>
      <c r="I22" s="10"/>
      <c r="L22" s="10"/>
      <c r="M22" s="10"/>
      <c r="P22" s="10"/>
      <c r="Q22" s="10"/>
      <c r="T22" s="10"/>
      <c r="U22" s="10"/>
      <c r="X22" s="10"/>
      <c r="Y22" s="10"/>
      <c r="AB22" s="10"/>
      <c r="AC22" s="10"/>
      <c r="AF22" s="10"/>
      <c r="AG22" s="10"/>
      <c r="AJ22" s="10"/>
      <c r="AK22" s="10"/>
      <c r="AN22" s="10"/>
      <c r="AO22" s="10"/>
      <c r="AR22" s="10"/>
      <c r="AS22" s="10"/>
      <c r="AV22" s="10"/>
      <c r="AW22" s="10"/>
      <c r="AZ22" s="10"/>
      <c r="BA22" s="10"/>
      <c r="BD22" s="10"/>
      <c r="BE22" s="10"/>
      <c r="BH22" s="10"/>
      <c r="BI22" s="10"/>
      <c r="BL22" s="10"/>
      <c r="BM22" s="10"/>
      <c r="BN22">
        <f>SUMIFS($D22:$BM22,$D$9:$BM$9,$H$1)</f>
        <v>0</v>
      </c>
      <c r="BO22">
        <f>SUMIFS($D22:$BM22,$D$9:$BM$9,$H$2)</f>
        <v>0</v>
      </c>
      <c r="BP22">
        <f>BN22-BO22</f>
        <v>0</v>
      </c>
    </row>
    <row r="23" spans="2:68">
      <c r="B23" s="6" t="s">
        <v>41</v>
      </c>
      <c r="C23" s="6" t="s">
        <v>42</v>
      </c>
      <c r="D23" s="10"/>
      <c r="E23" s="10"/>
      <c r="H23" s="10"/>
      <c r="I23" s="10"/>
      <c r="L23" s="10"/>
      <c r="M23" s="10"/>
      <c r="P23" s="10"/>
      <c r="Q23" s="10"/>
      <c r="T23" s="10"/>
      <c r="U23" s="10"/>
      <c r="X23" s="10"/>
      <c r="Y23" s="10"/>
      <c r="AB23" s="10"/>
      <c r="AC23" s="10"/>
      <c r="AF23" s="10"/>
      <c r="AG23" s="10"/>
      <c r="AJ23" s="10"/>
      <c r="AK23" s="10"/>
      <c r="AN23" s="10"/>
      <c r="AO23" s="10"/>
      <c r="AR23" s="10"/>
      <c r="AS23" s="10"/>
      <c r="AV23" s="10"/>
      <c r="AW23" s="10"/>
      <c r="AZ23" s="10"/>
      <c r="BA23" s="10"/>
      <c r="BD23" s="10"/>
      <c r="BE23" s="10"/>
      <c r="BH23" s="10"/>
      <c r="BI23" s="10"/>
      <c r="BL23" s="10"/>
      <c r="BM23" s="10"/>
      <c r="BN23">
        <f>SUMIFS($D23:$BM23,$D$9:$BM$9,$H$1)</f>
        <v>0</v>
      </c>
      <c r="BO23">
        <f>SUMIFS($D23:$BM23,$D$9:$BM$9,$H$2)</f>
        <v>0</v>
      </c>
      <c r="BP23">
        <f>BN23-BO23</f>
        <v>0</v>
      </c>
    </row>
    <row r="24" spans="2:68">
      <c r="B24" s="6" t="s">
        <v>43</v>
      </c>
      <c r="C24" s="6" t="s">
        <v>44</v>
      </c>
      <c r="D24" s="10"/>
      <c r="E24" s="10"/>
      <c r="H24" s="10"/>
      <c r="I24" s="10"/>
      <c r="L24" s="10"/>
      <c r="M24" s="10"/>
      <c r="P24" s="10"/>
      <c r="Q24" s="10"/>
      <c r="T24" s="10"/>
      <c r="U24" s="10"/>
      <c r="X24" s="10"/>
      <c r="Y24" s="10"/>
      <c r="AB24" s="10"/>
      <c r="AC24" s="10"/>
      <c r="AF24" s="10"/>
      <c r="AG24" s="10"/>
      <c r="AJ24" s="10"/>
      <c r="AK24" s="10"/>
      <c r="AN24" s="10"/>
      <c r="AO24" s="10"/>
      <c r="AR24" s="10"/>
      <c r="AS24" s="10"/>
      <c r="AV24" s="10"/>
      <c r="AW24" s="10"/>
      <c r="AZ24" s="10"/>
      <c r="BA24" s="10"/>
      <c r="BD24" s="10"/>
      <c r="BE24" s="10"/>
      <c r="BH24" s="10"/>
      <c r="BI24" s="10"/>
      <c r="BL24" s="10"/>
      <c r="BM24" s="10"/>
      <c r="BN24">
        <f>SUMIFS($D24:$BM24,$D$9:$BM$9,$H$1)</f>
        <v>0</v>
      </c>
      <c r="BO24">
        <f>SUMIFS($D24:$BM24,$D$9:$BM$9,$H$2)</f>
        <v>0</v>
      </c>
      <c r="BP24">
        <f>BN24-BO24</f>
        <v>0</v>
      </c>
    </row>
    <row r="25" spans="2:68">
      <c r="B25" s="6" t="s">
        <v>45</v>
      </c>
      <c r="C25" s="6" t="s">
        <v>46</v>
      </c>
      <c r="D25" s="10"/>
      <c r="E25" s="10"/>
      <c r="H25" s="10"/>
      <c r="I25" s="10"/>
      <c r="L25" s="10"/>
      <c r="M25" s="10"/>
      <c r="P25" s="10"/>
      <c r="Q25" s="10"/>
      <c r="T25" s="10"/>
      <c r="U25" s="10"/>
      <c r="X25" s="10"/>
      <c r="Y25" s="10"/>
      <c r="AB25" s="10"/>
      <c r="AC25" s="10"/>
      <c r="AF25" s="10"/>
      <c r="AG25" s="10"/>
      <c r="AJ25" s="10"/>
      <c r="AK25" s="10"/>
      <c r="AN25" s="10"/>
      <c r="AO25" s="10"/>
      <c r="AR25" s="10"/>
      <c r="AS25" s="10"/>
      <c r="AV25" s="10"/>
      <c r="AW25" s="10"/>
      <c r="AZ25" s="10"/>
      <c r="BA25" s="10"/>
      <c r="BD25" s="10"/>
      <c r="BE25" s="10"/>
      <c r="BH25" s="10"/>
      <c r="BI25" s="10"/>
      <c r="BL25" s="10"/>
      <c r="BM25" s="10"/>
      <c r="BN25">
        <f>SUMIFS($D25:$BM25,$D$9:$BM$9,$H$1)</f>
        <v>0</v>
      </c>
      <c r="BO25">
        <f>SUMIFS($D25:$BM25,$D$9:$BM$9,$H$2)</f>
        <v>0</v>
      </c>
      <c r="BP25">
        <f>BN25-BO25</f>
        <v>0</v>
      </c>
    </row>
    <row r="26" spans="2:68">
      <c r="B26" s="6" t="s">
        <v>47</v>
      </c>
      <c r="C26" s="6" t="s">
        <v>48</v>
      </c>
      <c r="D26" s="10"/>
      <c r="E26" s="10"/>
      <c r="H26" s="10"/>
      <c r="I26" s="10"/>
      <c r="L26" s="10"/>
      <c r="M26" s="10"/>
      <c r="P26" s="10"/>
      <c r="Q26" s="10"/>
      <c r="T26" s="10"/>
      <c r="U26" s="10"/>
      <c r="X26" s="10"/>
      <c r="Y26" s="10"/>
      <c r="AB26" s="10"/>
      <c r="AC26" s="10"/>
      <c r="AF26" s="10"/>
      <c r="AG26" s="10"/>
      <c r="AJ26" s="10"/>
      <c r="AK26" s="10"/>
      <c r="AN26" s="10"/>
      <c r="AO26" s="10"/>
      <c r="AR26" s="10"/>
      <c r="AS26" s="10"/>
      <c r="AV26" s="10"/>
      <c r="AW26" s="10"/>
      <c r="AZ26" s="10"/>
      <c r="BA26" s="10"/>
      <c r="BD26" s="10"/>
      <c r="BE26" s="10"/>
      <c r="BH26" s="10"/>
      <c r="BI26" s="10"/>
      <c r="BL26" s="10"/>
      <c r="BM26" s="10"/>
      <c r="BN26">
        <f>SUMIFS($D26:$BM26,$D$9:$BM$9,$H$1)</f>
        <v>0</v>
      </c>
      <c r="BO26">
        <f>SUMIFS($D26:$BM26,$D$9:$BM$9,$H$2)</f>
        <v>0</v>
      </c>
      <c r="BP26">
        <f>BN26-BO26</f>
        <v>0</v>
      </c>
    </row>
    <row r="27" spans="2:68">
      <c r="B27" s="6" t="s">
        <v>49</v>
      </c>
      <c r="C27" s="6" t="s">
        <v>50</v>
      </c>
      <c r="D27" s="10"/>
      <c r="E27" s="10"/>
      <c r="H27" s="10"/>
      <c r="I27" s="10"/>
      <c r="L27" s="10"/>
      <c r="M27" s="10"/>
      <c r="P27" s="10"/>
      <c r="Q27" s="10"/>
      <c r="T27" s="10"/>
      <c r="U27" s="10"/>
      <c r="X27" s="10"/>
      <c r="Y27" s="10"/>
      <c r="AB27" s="10"/>
      <c r="AC27" s="10"/>
      <c r="AF27" s="10"/>
      <c r="AG27" s="10"/>
      <c r="AJ27" s="10"/>
      <c r="AK27" s="10"/>
      <c r="AN27" s="10"/>
      <c r="AO27" s="10"/>
      <c r="AR27" s="10"/>
      <c r="AS27" s="10"/>
      <c r="AV27" s="10"/>
      <c r="AW27" s="10"/>
      <c r="AZ27" s="10"/>
      <c r="BA27" s="10"/>
      <c r="BD27" s="10"/>
      <c r="BE27" s="10"/>
      <c r="BH27" s="10"/>
      <c r="BI27" s="10"/>
      <c r="BL27" s="10"/>
      <c r="BM27" s="10"/>
      <c r="BN27">
        <f>SUMIFS($D27:$BM27,$D$9:$BM$9,$H$1)</f>
        <v>0</v>
      </c>
      <c r="BO27">
        <f>SUMIFS($D27:$BM27,$D$9:$BM$9,$H$2)</f>
        <v>0</v>
      </c>
      <c r="BP27">
        <f>BN27-BO27</f>
        <v>0</v>
      </c>
    </row>
    <row r="28" spans="2:68">
      <c r="B28" s="6" t="s">
        <v>51</v>
      </c>
      <c r="C28" s="6" t="s">
        <v>50</v>
      </c>
      <c r="D28" s="10"/>
      <c r="E28" s="10"/>
      <c r="H28" s="10"/>
      <c r="I28" s="10"/>
      <c r="L28" s="10"/>
      <c r="M28" s="10"/>
      <c r="P28" s="10"/>
      <c r="Q28" s="10"/>
      <c r="T28" s="10"/>
      <c r="U28" s="10"/>
      <c r="X28" s="10"/>
      <c r="Y28" s="10"/>
      <c r="AB28" s="10"/>
      <c r="AC28" s="10"/>
      <c r="AF28" s="10"/>
      <c r="AG28" s="10"/>
      <c r="AJ28" s="10"/>
      <c r="AK28" s="10"/>
      <c r="AN28" s="10"/>
      <c r="AO28" s="10"/>
      <c r="AR28" s="10"/>
      <c r="AS28" s="10"/>
      <c r="AV28" s="10"/>
      <c r="AW28" s="10"/>
      <c r="AZ28" s="10"/>
      <c r="BA28" s="10"/>
      <c r="BD28" s="10"/>
      <c r="BE28" s="10"/>
      <c r="BH28" s="10"/>
      <c r="BI28" s="10"/>
      <c r="BL28" s="10"/>
      <c r="BM28" s="10"/>
      <c r="BN28">
        <f>SUMIFS($D28:$BM28,$D$9:$BM$9,$H$1)</f>
        <v>0</v>
      </c>
      <c r="BO28">
        <f>SUMIFS($D28:$BM28,$D$9:$BM$9,$H$2)</f>
        <v>0</v>
      </c>
      <c r="BP28">
        <f>BN28-BO28</f>
        <v>0</v>
      </c>
    </row>
    <row r="29" spans="2:68">
      <c r="B29" s="6" t="s">
        <v>52</v>
      </c>
      <c r="C29" s="6" t="s">
        <v>50</v>
      </c>
      <c r="D29" s="10"/>
      <c r="E29" s="15"/>
      <c r="F29" s="9"/>
      <c r="G29" s="9"/>
      <c r="H29" s="15"/>
      <c r="I29" s="15"/>
      <c r="J29" s="9"/>
      <c r="K29" s="9"/>
      <c r="L29" s="15"/>
      <c r="M29" s="15"/>
      <c r="N29" s="9"/>
      <c r="O29" s="9"/>
      <c r="P29" s="15"/>
      <c r="Q29" s="15"/>
      <c r="R29" s="9"/>
      <c r="S29" s="9"/>
      <c r="T29" s="15"/>
      <c r="U29" s="15"/>
      <c r="V29" s="9"/>
      <c r="W29" s="9"/>
      <c r="X29" s="15"/>
      <c r="Y29" s="15"/>
      <c r="Z29" s="9"/>
      <c r="AA29" s="9"/>
      <c r="AB29" s="15"/>
      <c r="AC29" s="15"/>
      <c r="AD29" s="9"/>
      <c r="AE29" s="9"/>
      <c r="AF29" s="15"/>
      <c r="AG29" s="15"/>
      <c r="AH29" s="9"/>
      <c r="AI29" s="9"/>
      <c r="AJ29" s="15"/>
      <c r="AK29" s="15"/>
      <c r="AL29" s="9"/>
      <c r="AM29" s="9"/>
      <c r="AN29" s="15"/>
      <c r="AO29" s="15"/>
      <c r="AP29" s="9"/>
      <c r="AQ29" s="9"/>
      <c r="AR29" s="15"/>
      <c r="AS29" s="15"/>
      <c r="AT29" s="9"/>
      <c r="AU29" s="9"/>
      <c r="AV29" s="15"/>
      <c r="AW29" s="15"/>
      <c r="AX29" s="9"/>
      <c r="AY29" s="9"/>
      <c r="AZ29" s="15"/>
      <c r="BA29" s="15"/>
      <c r="BB29" s="9"/>
      <c r="BC29" s="9"/>
      <c r="BD29" s="15"/>
      <c r="BE29" s="15"/>
      <c r="BF29" s="9"/>
      <c r="BG29" s="9"/>
      <c r="BH29" s="15"/>
      <c r="BI29" s="15"/>
      <c r="BJ29" s="9"/>
      <c r="BK29" s="9"/>
      <c r="BL29" s="15"/>
      <c r="BM29" s="10"/>
      <c r="BN29">
        <f>SUMIFS($D29:$BM29,$D$9:$BM$9,$H$1)</f>
        <v>0</v>
      </c>
      <c r="BO29">
        <f>SUMIFS($D29:$BM29,$D$9:$BM$9,$H$2)</f>
        <v>0</v>
      </c>
      <c r="BP29">
        <f>BN29-BO29</f>
        <v>0</v>
      </c>
    </row>
    <row r="30" spans="2:68">
      <c r="B30" s="6" t="s">
        <v>53</v>
      </c>
      <c r="C30" s="6" t="s">
        <v>54</v>
      </c>
      <c r="D30" s="10"/>
      <c r="E30" s="10"/>
      <c r="H30" s="10"/>
      <c r="I30" s="10"/>
      <c r="L30" s="10"/>
      <c r="M30" s="10"/>
      <c r="P30" s="10"/>
      <c r="Q30" s="10"/>
      <c r="T30" s="10"/>
      <c r="U30" s="10"/>
      <c r="X30" s="10"/>
      <c r="Y30" s="10"/>
      <c r="AB30" s="10"/>
      <c r="AC30" s="10"/>
      <c r="AF30" s="10"/>
      <c r="AG30" s="10"/>
      <c r="AJ30" s="10"/>
      <c r="AK30" s="10"/>
      <c r="AN30" s="10"/>
      <c r="AO30" s="10"/>
      <c r="AR30" s="10"/>
      <c r="AS30" s="10"/>
      <c r="AV30" s="10"/>
      <c r="AW30" s="10"/>
      <c r="AZ30" s="10"/>
      <c r="BA30" s="10"/>
      <c r="BD30" s="10"/>
      <c r="BE30" s="10"/>
      <c r="BH30" s="10"/>
      <c r="BI30" s="10"/>
      <c r="BL30" s="10"/>
      <c r="BM30" s="10"/>
      <c r="BN30">
        <f>SUMIFS($D30:$BM30,$D$9:$BM$9,$H$1)</f>
        <v>0</v>
      </c>
      <c r="BO30">
        <f>SUMIFS($D30:$BM30,$D$9:$BM$9,$H$2)</f>
        <v>0</v>
      </c>
      <c r="BP30">
        <f>BN30-BO30</f>
        <v>0</v>
      </c>
    </row>
    <row r="31" spans="2:68">
      <c r="B31" s="6" t="s">
        <v>55</v>
      </c>
      <c r="C31" s="6" t="s">
        <v>56</v>
      </c>
      <c r="D31" s="10"/>
      <c r="E31" s="10"/>
      <c r="H31" s="10"/>
      <c r="I31" s="10"/>
      <c r="L31" s="10"/>
      <c r="M31" s="10"/>
      <c r="P31" s="10"/>
      <c r="Q31" s="10"/>
      <c r="T31" s="10"/>
      <c r="U31" s="10"/>
      <c r="X31" s="10"/>
      <c r="Y31" s="10"/>
      <c r="AB31" s="10"/>
      <c r="AC31" s="10"/>
      <c r="AF31" s="10"/>
      <c r="AG31" s="10"/>
      <c r="AJ31" s="10"/>
      <c r="AK31" s="10"/>
      <c r="AN31" s="10"/>
      <c r="AO31" s="10"/>
      <c r="AR31" s="10"/>
      <c r="AS31" s="10"/>
      <c r="AV31" s="10"/>
      <c r="AW31" s="10"/>
      <c r="AZ31" s="10"/>
      <c r="BA31" s="10"/>
      <c r="BD31" s="10"/>
      <c r="BE31" s="10"/>
      <c r="BH31" s="10"/>
      <c r="BI31" s="10"/>
      <c r="BL31" s="10"/>
      <c r="BM31" s="10"/>
      <c r="BN31">
        <f>SUMIFS($D31:$BM31,$D$9:$BM$9,$H$1)</f>
        <v>0</v>
      </c>
      <c r="BO31">
        <f>SUMIFS($D31:$BM31,$D$9:$BM$9,$H$2)</f>
        <v>0</v>
      </c>
      <c r="BP31">
        <f>BN31-BO31</f>
        <v>0</v>
      </c>
    </row>
    <row r="32" spans="2:68">
      <c r="B32" s="6" t="s">
        <v>57</v>
      </c>
      <c r="C32" s="6" t="s">
        <v>56</v>
      </c>
      <c r="D32" s="10"/>
      <c r="E32" s="10"/>
      <c r="H32" s="10"/>
      <c r="I32" s="10"/>
      <c r="L32" s="10"/>
      <c r="M32" s="10"/>
      <c r="P32" s="10"/>
      <c r="Q32" s="10"/>
      <c r="T32" s="10"/>
      <c r="U32" s="10"/>
      <c r="X32" s="10"/>
      <c r="Y32" s="10"/>
      <c r="AB32" s="10"/>
      <c r="AC32" s="10"/>
      <c r="AF32" s="10"/>
      <c r="AG32" s="10"/>
      <c r="AJ32" s="10"/>
      <c r="AK32" s="10"/>
      <c r="AN32" s="10"/>
      <c r="AO32" s="10"/>
      <c r="AR32" s="10"/>
      <c r="AS32" s="10"/>
      <c r="AV32" s="10"/>
      <c r="AW32" s="10"/>
      <c r="AZ32" s="10"/>
      <c r="BA32" s="10"/>
      <c r="BD32" s="10"/>
      <c r="BE32" s="10"/>
      <c r="BH32" s="10"/>
      <c r="BI32" s="10"/>
      <c r="BL32" s="10"/>
      <c r="BM32" s="10"/>
      <c r="BN32">
        <f>SUMIFS($D32:$BM32,$D$9:$BM$9,$H$1)</f>
        <v>0</v>
      </c>
      <c r="BO32">
        <f>SUMIFS($D32:$BM32,$D$9:$BM$9,$H$2)</f>
        <v>0</v>
      </c>
      <c r="BP32">
        <f>BN32-BO32</f>
        <v>0</v>
      </c>
    </row>
    <row r="33" spans="2:68">
      <c r="B33" s="6" t="s">
        <v>58</v>
      </c>
      <c r="C33" s="6" t="s">
        <v>56</v>
      </c>
      <c r="D33" s="10"/>
      <c r="E33" s="10"/>
      <c r="H33" s="10"/>
      <c r="I33" s="10"/>
      <c r="L33" s="10"/>
      <c r="M33" s="10"/>
      <c r="P33" s="10"/>
      <c r="Q33" s="10"/>
      <c r="T33" s="10"/>
      <c r="U33" s="10"/>
      <c r="X33" s="10"/>
      <c r="Y33" s="10"/>
      <c r="AB33" s="10"/>
      <c r="AC33" s="10"/>
      <c r="AF33" s="10"/>
      <c r="AG33" s="10"/>
      <c r="AJ33" s="10"/>
      <c r="AK33" s="10"/>
      <c r="AN33" s="10"/>
      <c r="AO33" s="10"/>
      <c r="AR33" s="10"/>
      <c r="AS33" s="10"/>
      <c r="AV33" s="10"/>
      <c r="AW33" s="10"/>
      <c r="AZ33" s="10"/>
      <c r="BA33" s="10"/>
      <c r="BD33" s="10"/>
      <c r="BE33" s="10"/>
      <c r="BH33" s="10"/>
      <c r="BI33" s="10"/>
      <c r="BL33" s="10"/>
      <c r="BM33" s="10"/>
      <c r="BN33">
        <f>SUMIFS($D33:$BM33,$D$9:$BM$9,$H$1)</f>
        <v>0</v>
      </c>
      <c r="BO33">
        <f>SUMIFS($D33:$BM33,$D$9:$BM$9,$H$2)</f>
        <v>0</v>
      </c>
      <c r="BP33">
        <f>BN33-BO33</f>
        <v>0</v>
      </c>
    </row>
    <row r="34" spans="2:68">
      <c r="B34" s="6" t="s">
        <v>59</v>
      </c>
      <c r="C34" s="6" t="s">
        <v>56</v>
      </c>
      <c r="D34" s="10"/>
      <c r="E34" s="10"/>
      <c r="H34" s="10"/>
      <c r="I34" s="10"/>
      <c r="L34" s="10"/>
      <c r="M34" s="10"/>
      <c r="P34" s="10"/>
      <c r="Q34" s="10"/>
      <c r="T34" s="10"/>
      <c r="U34" s="10"/>
      <c r="X34" s="10"/>
      <c r="Y34" s="10"/>
      <c r="AB34" s="10"/>
      <c r="AC34" s="10"/>
      <c r="AF34" s="10"/>
      <c r="AG34" s="10"/>
      <c r="AJ34" s="10"/>
      <c r="AK34" s="10"/>
      <c r="AN34" s="10"/>
      <c r="AO34" s="10"/>
      <c r="AR34" s="10"/>
      <c r="AS34" s="10"/>
      <c r="AV34" s="10"/>
      <c r="AW34" s="10"/>
      <c r="AZ34" s="10"/>
      <c r="BA34" s="10"/>
      <c r="BD34" s="10"/>
      <c r="BE34" s="10"/>
      <c r="BH34" s="10"/>
      <c r="BI34" s="10"/>
      <c r="BL34" s="10"/>
      <c r="BM34" s="10"/>
      <c r="BN34">
        <f>SUMIFS($D34:$BM34,$D$9:$BM$9,$H$1)</f>
        <v>0</v>
      </c>
      <c r="BO34">
        <f>SUMIFS($D34:$BM34,$D$9:$BM$9,$H$2)</f>
        <v>0</v>
      </c>
      <c r="BP34">
        <f>BN34-BO34</f>
        <v>0</v>
      </c>
    </row>
    <row r="35" spans="2:68">
      <c r="B35" s="6" t="s">
        <v>60</v>
      </c>
      <c r="C35" s="6" t="s">
        <v>61</v>
      </c>
      <c r="D35" s="10"/>
      <c r="E35" s="10"/>
      <c r="H35" s="10"/>
      <c r="I35" s="10"/>
      <c r="L35" s="10"/>
      <c r="M35" s="10"/>
      <c r="P35" s="10"/>
      <c r="Q35" s="10"/>
      <c r="T35" s="10"/>
      <c r="U35" s="10"/>
      <c r="X35" s="10"/>
      <c r="Y35" s="10"/>
      <c r="AB35" s="10"/>
      <c r="AC35" s="10"/>
      <c r="AF35" s="10"/>
      <c r="AG35" s="10"/>
      <c r="AJ35" s="10"/>
      <c r="AK35" s="10"/>
      <c r="AN35" s="10"/>
      <c r="AO35" s="10"/>
      <c r="AR35" s="10"/>
      <c r="AS35" s="10"/>
      <c r="AV35" s="10"/>
      <c r="AW35" s="10"/>
      <c r="AZ35" s="10"/>
      <c r="BA35" s="10"/>
      <c r="BD35" s="10"/>
      <c r="BE35" s="10"/>
      <c r="BH35" s="10"/>
      <c r="BI35" s="10"/>
      <c r="BL35" s="10"/>
      <c r="BM35" s="10"/>
      <c r="BN35">
        <f>SUMIFS($D35:$BM35,$D$9:$BM$9,$H$1)</f>
        <v>0</v>
      </c>
      <c r="BO35">
        <f>SUMIFS($D35:$BM35,$D$9:$BM$9,$H$2)</f>
        <v>0</v>
      </c>
      <c r="BP35">
        <f>BN35-BO35</f>
        <v>0</v>
      </c>
    </row>
    <row r="36" spans="2:68">
      <c r="B36" s="6" t="s">
        <v>62</v>
      </c>
      <c r="C36" s="6" t="s">
        <v>63</v>
      </c>
      <c r="D36" s="10"/>
      <c r="E36" s="10"/>
      <c r="H36" s="10"/>
      <c r="I36" s="10"/>
      <c r="L36" s="10"/>
      <c r="M36" s="10"/>
      <c r="P36" s="10"/>
      <c r="Q36" s="10"/>
      <c r="T36" s="10"/>
      <c r="U36" s="10"/>
      <c r="X36" s="10"/>
      <c r="Y36" s="10"/>
      <c r="AB36" s="10"/>
      <c r="AC36" s="10"/>
      <c r="AF36" s="10"/>
      <c r="AG36" s="10"/>
      <c r="AJ36" s="10"/>
      <c r="AK36" s="10"/>
      <c r="AN36" s="10"/>
      <c r="AO36" s="10"/>
      <c r="AR36" s="10"/>
      <c r="AS36" s="10"/>
      <c r="AV36" s="10"/>
      <c r="AW36" s="10"/>
      <c r="AZ36" s="10"/>
      <c r="BA36" s="10"/>
      <c r="BD36" s="10"/>
      <c r="BE36" s="10"/>
      <c r="BH36" s="10"/>
      <c r="BI36" s="10"/>
      <c r="BL36" s="10"/>
      <c r="BM36" s="10"/>
      <c r="BN36">
        <f>SUMIFS($D36:$BM36,$D$9:$BM$9,$H$1)</f>
        <v>0</v>
      </c>
      <c r="BO36">
        <f>SUMIFS($D36:$BM36,$D$9:$BM$9,$H$2)</f>
        <v>0</v>
      </c>
      <c r="BP36">
        <f>BN36-BO36</f>
        <v>0</v>
      </c>
    </row>
    <row r="37" spans="2:68">
      <c r="B37" s="6" t="s">
        <v>64</v>
      </c>
      <c r="C37" s="6" t="s">
        <v>63</v>
      </c>
      <c r="D37" s="10"/>
      <c r="E37" s="10"/>
      <c r="H37" s="10"/>
      <c r="I37" s="10"/>
      <c r="L37" s="10"/>
      <c r="M37" s="10"/>
      <c r="P37" s="10"/>
      <c r="Q37" s="10"/>
      <c r="T37" s="10"/>
      <c r="U37" s="10"/>
      <c r="X37" s="10"/>
      <c r="Y37" s="10"/>
      <c r="AB37" s="10"/>
      <c r="AC37" s="10"/>
      <c r="AF37" s="10"/>
      <c r="AG37" s="10"/>
      <c r="AJ37" s="10"/>
      <c r="AK37" s="10"/>
      <c r="AN37" s="10"/>
      <c r="AO37" s="10"/>
      <c r="AR37" s="10"/>
      <c r="AS37" s="10"/>
      <c r="AV37" s="10"/>
      <c r="AW37" s="10"/>
      <c r="AZ37" s="10"/>
      <c r="BA37" s="10"/>
      <c r="BD37" s="10"/>
      <c r="BE37" s="10"/>
      <c r="BH37" s="10"/>
      <c r="BI37" s="10"/>
      <c r="BL37" s="10"/>
      <c r="BM37" s="10"/>
      <c r="BN37">
        <f>SUMIFS($D37:$BM37,$D$9:$BM$9,$H$1)</f>
        <v>0</v>
      </c>
      <c r="BO37">
        <f>SUMIFS($D37:$BM37,$D$9:$BM$9,$H$2)</f>
        <v>0</v>
      </c>
      <c r="BP37">
        <f>BN37-BO37</f>
        <v>0</v>
      </c>
    </row>
    <row r="38" spans="2:68">
      <c r="B38" s="6" t="s">
        <v>65</v>
      </c>
      <c r="C38" s="6" t="s">
        <v>66</v>
      </c>
      <c r="D38" s="10"/>
      <c r="E38" s="10"/>
      <c r="H38" s="10"/>
      <c r="I38" s="10"/>
      <c r="L38" s="10"/>
      <c r="M38" s="10"/>
      <c r="P38" s="10"/>
      <c r="Q38" s="10"/>
      <c r="T38" s="10"/>
      <c r="U38" s="10"/>
      <c r="X38" s="10"/>
      <c r="Y38" s="10"/>
      <c r="AB38" s="10"/>
      <c r="AC38" s="10"/>
      <c r="AF38" s="10"/>
      <c r="AG38" s="10"/>
      <c r="AJ38" s="10"/>
      <c r="AK38" s="10"/>
      <c r="AN38" s="10"/>
      <c r="AO38" s="10"/>
      <c r="AR38" s="10"/>
      <c r="AS38" s="10"/>
      <c r="AV38" s="10"/>
      <c r="AW38" s="10"/>
      <c r="AZ38" s="10"/>
      <c r="BA38" s="10"/>
      <c r="BD38" s="10"/>
      <c r="BE38" s="10"/>
      <c r="BH38" s="10"/>
      <c r="BI38" s="10"/>
      <c r="BL38" s="10"/>
      <c r="BM38" s="10"/>
      <c r="BN38">
        <f>SUMIFS($D38:$BM38,$D$9:$BM$9,$H$1)</f>
        <v>0</v>
      </c>
      <c r="BO38">
        <f>SUMIFS($D38:$BM38,$D$9:$BM$9,$H$2)</f>
        <v>0</v>
      </c>
      <c r="BP38">
        <f>BN38-BO38</f>
        <v>0</v>
      </c>
    </row>
    <row r="39" spans="2:68">
      <c r="B39" s="6" t="s">
        <v>67</v>
      </c>
      <c r="C39" s="6" t="s">
        <v>68</v>
      </c>
      <c r="D39" s="10"/>
      <c r="E39" s="10"/>
      <c r="H39" s="10"/>
      <c r="I39" s="10"/>
      <c r="L39" s="10"/>
      <c r="M39" s="10"/>
      <c r="P39" s="10"/>
      <c r="Q39" s="10"/>
      <c r="T39" s="10"/>
      <c r="U39" s="10"/>
      <c r="X39" s="10"/>
      <c r="Y39" s="10"/>
      <c r="AB39" s="10"/>
      <c r="AC39" s="10"/>
      <c r="AF39" s="10"/>
      <c r="AG39" s="10"/>
      <c r="AJ39" s="10"/>
      <c r="AK39" s="10"/>
      <c r="AN39" s="10"/>
      <c r="AO39" s="10"/>
      <c r="AR39" s="10"/>
      <c r="AS39" s="10"/>
      <c r="AV39" s="10"/>
      <c r="AW39" s="10"/>
      <c r="AZ39" s="10"/>
      <c r="BA39" s="10"/>
      <c r="BD39" s="10"/>
      <c r="BE39" s="10"/>
      <c r="BH39" s="10"/>
      <c r="BI39" s="10"/>
      <c r="BL39" s="10"/>
      <c r="BM39" s="10"/>
      <c r="BN39">
        <f>SUMIFS($D39:$BM39,$D$9:$BM$9,$H$1)</f>
        <v>0</v>
      </c>
      <c r="BO39">
        <f>SUMIFS($D39:$BM39,$D$9:$BM$9,$H$2)</f>
        <v>0</v>
      </c>
      <c r="BP39">
        <f>BN39-BO39</f>
        <v>0</v>
      </c>
    </row>
    <row r="40" spans="2:68">
      <c r="B40" s="6" t="s">
        <v>69</v>
      </c>
      <c r="C40" s="6" t="s">
        <v>70</v>
      </c>
      <c r="D40" s="10"/>
      <c r="E40" s="10"/>
      <c r="H40" s="10"/>
      <c r="I40" s="10"/>
      <c r="L40" s="10"/>
      <c r="M40" s="10"/>
      <c r="P40" s="10"/>
      <c r="Q40" s="10"/>
      <c r="T40" s="10"/>
      <c r="U40" s="10"/>
      <c r="X40" s="10"/>
      <c r="Y40" s="10"/>
      <c r="AB40" s="10"/>
      <c r="AC40" s="10"/>
      <c r="AF40" s="10"/>
      <c r="AG40" s="10"/>
      <c r="AJ40" s="10"/>
      <c r="AK40" s="10"/>
      <c r="AN40" s="10"/>
      <c r="AO40" s="10"/>
      <c r="AR40" s="10"/>
      <c r="AS40" s="10"/>
      <c r="AV40" s="10"/>
      <c r="AW40" s="10"/>
      <c r="AZ40" s="10"/>
      <c r="BA40" s="10"/>
      <c r="BD40" s="10"/>
      <c r="BE40" s="10"/>
      <c r="BH40" s="10"/>
      <c r="BI40" s="10"/>
      <c r="BL40" s="10"/>
      <c r="BM40" s="10"/>
      <c r="BN40">
        <f>SUMIFS($D40:$BM40,$D$9:$BM$9,$H$1)</f>
        <v>0</v>
      </c>
      <c r="BO40">
        <f>SUMIFS($D40:$BM40,$D$9:$BM$9,$H$2)</f>
        <v>0</v>
      </c>
      <c r="BP40">
        <f>BN40-BO40</f>
        <v>0</v>
      </c>
    </row>
    <row r="41" spans="2:68">
      <c r="B41" s="6" t="s">
        <v>71</v>
      </c>
      <c r="C41" s="6" t="s">
        <v>72</v>
      </c>
      <c r="D41" s="10"/>
      <c r="E41" s="10"/>
      <c r="H41" s="10"/>
      <c r="I41" s="10"/>
      <c r="L41" s="10"/>
      <c r="M41" s="10"/>
      <c r="P41" s="10"/>
      <c r="Q41" s="10"/>
      <c r="T41" s="10"/>
      <c r="U41" s="10"/>
      <c r="X41" s="10"/>
      <c r="Y41" s="10"/>
      <c r="AB41" s="10"/>
      <c r="AC41" s="10"/>
      <c r="AF41" s="10"/>
      <c r="AG41" s="10"/>
      <c r="AJ41" s="10"/>
      <c r="AK41" s="10"/>
      <c r="AN41" s="10"/>
      <c r="AO41" s="10"/>
      <c r="AR41" s="10"/>
      <c r="AS41" s="10"/>
      <c r="AV41" s="10"/>
      <c r="AW41" s="10"/>
      <c r="AZ41" s="10"/>
      <c r="BA41" s="10"/>
      <c r="BD41" s="10"/>
      <c r="BE41" s="10"/>
      <c r="BH41" s="10"/>
      <c r="BI41" s="10"/>
      <c r="BL41" s="10"/>
      <c r="BM41" s="10"/>
      <c r="BN41">
        <f>SUMIFS($D41:$BM41,$D$9:$BM$9,$H$1)</f>
        <v>0</v>
      </c>
      <c r="BO41">
        <f>SUMIFS($D41:$BM41,$D$9:$BM$9,$H$2)</f>
        <v>0</v>
      </c>
      <c r="BP41">
        <f>BN41-BO41</f>
        <v>0</v>
      </c>
    </row>
    <row r="42" spans="2:68">
      <c r="B42" s="6" t="s">
        <v>73</v>
      </c>
      <c r="C42" s="6" t="s">
        <v>74</v>
      </c>
      <c r="D42" s="10"/>
      <c r="E42" s="10"/>
      <c r="H42" s="10"/>
      <c r="I42" s="10"/>
      <c r="L42" s="10"/>
      <c r="M42" s="10"/>
      <c r="P42" s="10"/>
      <c r="Q42" s="10"/>
      <c r="T42" s="10"/>
      <c r="U42" s="10"/>
      <c r="X42" s="10"/>
      <c r="Y42" s="10"/>
      <c r="AB42" s="10"/>
      <c r="AC42" s="10"/>
      <c r="AF42" s="10"/>
      <c r="AG42" s="10"/>
      <c r="AJ42" s="10"/>
      <c r="AK42" s="10"/>
      <c r="AN42" s="10"/>
      <c r="AO42" s="10"/>
      <c r="AR42" s="10"/>
      <c r="AS42" s="10"/>
      <c r="AV42" s="10"/>
      <c r="AW42" s="10"/>
      <c r="AZ42" s="10"/>
      <c r="BA42" s="10"/>
      <c r="BD42" s="10"/>
      <c r="BE42" s="10"/>
      <c r="BH42" s="10"/>
      <c r="BI42" s="10"/>
      <c r="BL42" s="10"/>
      <c r="BM42" s="10"/>
      <c r="BN42">
        <f>SUMIFS($D42:$BM42,$D$9:$BM$9,$H$1)</f>
        <v>0</v>
      </c>
      <c r="BO42">
        <f>SUMIFS($D42:$BM42,$D$9:$BM$9,$H$2)</f>
        <v>0</v>
      </c>
      <c r="BP42">
        <f>BN42-BO42</f>
        <v>0</v>
      </c>
    </row>
    <row r="43" spans="2:68">
      <c r="B43" s="6" t="s">
        <v>75</v>
      </c>
      <c r="C43" s="6" t="s">
        <v>76</v>
      </c>
      <c r="D43" s="10"/>
      <c r="E43" s="10"/>
      <c r="H43" s="10"/>
      <c r="I43" s="10"/>
      <c r="L43" s="10"/>
      <c r="M43" s="10"/>
      <c r="P43" s="10"/>
      <c r="Q43" s="10"/>
      <c r="T43" s="10"/>
      <c r="U43" s="10"/>
      <c r="X43" s="10"/>
      <c r="Y43" s="10"/>
      <c r="AB43" s="10"/>
      <c r="AC43" s="10"/>
      <c r="AF43" s="10"/>
      <c r="AG43" s="10"/>
      <c r="AJ43" s="10"/>
      <c r="AK43" s="10"/>
      <c r="AN43" s="10"/>
      <c r="AO43" s="10"/>
      <c r="AR43" s="10"/>
      <c r="AS43" s="10"/>
      <c r="AV43" s="10"/>
      <c r="AW43" s="10"/>
      <c r="AZ43" s="10"/>
      <c r="BA43" s="10"/>
      <c r="BD43" s="10"/>
      <c r="BE43" s="10"/>
      <c r="BH43" s="10"/>
      <c r="BI43" s="10"/>
      <c r="BL43" s="10"/>
      <c r="BM43" s="10"/>
      <c r="BN43">
        <f>SUMIFS($D43:$BM43,$D$9:$BM$9,$H$1)</f>
        <v>0</v>
      </c>
      <c r="BO43">
        <f>SUMIFS($D43:$BM43,$D$9:$BM$9,$H$2)</f>
        <v>0</v>
      </c>
      <c r="BP43">
        <f>BN43-BO43</f>
        <v>0</v>
      </c>
    </row>
    <row r="44" spans="2:68">
      <c r="B44" s="6" t="s">
        <v>77</v>
      </c>
      <c r="C44" s="6" t="s">
        <v>78</v>
      </c>
      <c r="D44" s="10"/>
      <c r="E44" s="10"/>
      <c r="H44" s="10"/>
      <c r="I44" s="10"/>
      <c r="L44" s="10"/>
      <c r="M44" s="10"/>
      <c r="P44" s="10"/>
      <c r="Q44" s="10"/>
      <c r="T44" s="10"/>
      <c r="U44" s="10"/>
      <c r="X44" s="10"/>
      <c r="Y44" s="10"/>
      <c r="AB44" s="10"/>
      <c r="AC44" s="10"/>
      <c r="AF44" s="10"/>
      <c r="AG44" s="10"/>
      <c r="AJ44" s="10"/>
      <c r="AK44" s="10"/>
      <c r="AN44" s="10"/>
      <c r="AO44" s="10"/>
      <c r="AR44" s="10"/>
      <c r="AS44" s="10"/>
      <c r="AV44" s="10"/>
      <c r="AW44" s="10"/>
      <c r="AZ44" s="10"/>
      <c r="BA44" s="10"/>
      <c r="BD44" s="10"/>
      <c r="BE44" s="10"/>
      <c r="BH44" s="10"/>
      <c r="BI44" s="10"/>
      <c r="BL44" s="10"/>
      <c r="BM44" s="10"/>
      <c r="BN44">
        <f>SUMIFS($D44:$BM44,$D$9:$BM$9,$H$1)</f>
        <v>0</v>
      </c>
      <c r="BO44">
        <f>SUMIFS($D44:$BM44,$D$9:$BM$9,$H$2)</f>
        <v>0</v>
      </c>
      <c r="BP44">
        <f>BN44-BO44</f>
        <v>0</v>
      </c>
    </row>
    <row r="45" spans="2:68">
      <c r="B45" s="6" t="s">
        <v>79</v>
      </c>
      <c r="C45" s="6" t="s">
        <v>78</v>
      </c>
      <c r="D45" s="10"/>
      <c r="E45" s="10"/>
      <c r="H45" s="10"/>
      <c r="I45" s="10"/>
      <c r="L45" s="10"/>
      <c r="M45" s="10"/>
      <c r="P45" s="10"/>
      <c r="Q45" s="10"/>
      <c r="T45" s="10"/>
      <c r="U45" s="10"/>
      <c r="X45" s="10"/>
      <c r="Y45" s="10"/>
      <c r="AB45" s="10"/>
      <c r="AC45" s="10"/>
      <c r="AF45" s="10"/>
      <c r="AG45" s="10"/>
      <c r="AJ45" s="10"/>
      <c r="AK45" s="10"/>
      <c r="AN45" s="10"/>
      <c r="AO45" s="10"/>
      <c r="AR45" s="10"/>
      <c r="AS45" s="10"/>
      <c r="AV45" s="10"/>
      <c r="AW45" s="10"/>
      <c r="AZ45" s="10"/>
      <c r="BA45" s="10"/>
      <c r="BD45" s="10"/>
      <c r="BE45" s="10"/>
      <c r="BH45" s="10"/>
      <c r="BI45" s="10"/>
      <c r="BL45" s="10"/>
      <c r="BM45" s="10"/>
      <c r="BN45">
        <f>SUMIFS($D45:$BM45,$D$9:$BM$9,$H$1)</f>
        <v>0</v>
      </c>
      <c r="BO45">
        <f>SUMIFS($D45:$BM45,$D$9:$BM$9,$H$2)</f>
        <v>0</v>
      </c>
      <c r="BP45">
        <f>BN45-BO45</f>
        <v>0</v>
      </c>
    </row>
    <row r="46" spans="2:68">
      <c r="B46" s="6" t="s">
        <v>80</v>
      </c>
      <c r="C46" s="6" t="s">
        <v>81</v>
      </c>
      <c r="D46" s="10"/>
      <c r="E46" s="10"/>
      <c r="H46" s="10"/>
      <c r="I46" s="10"/>
      <c r="L46" s="10"/>
      <c r="M46" s="10"/>
      <c r="P46" s="10"/>
      <c r="Q46" s="10"/>
      <c r="T46" s="10"/>
      <c r="U46" s="10"/>
      <c r="X46" s="10"/>
      <c r="Y46" s="10"/>
      <c r="AB46" s="10"/>
      <c r="AC46" s="10"/>
      <c r="AF46" s="10"/>
      <c r="AG46" s="10"/>
      <c r="AJ46" s="10"/>
      <c r="AK46" s="10"/>
      <c r="AN46" s="10"/>
      <c r="AO46" s="10"/>
      <c r="AR46" s="10"/>
      <c r="AS46" s="10"/>
      <c r="AV46" s="10"/>
      <c r="AW46" s="10"/>
      <c r="AZ46" s="10"/>
      <c r="BA46" s="10"/>
      <c r="BD46" s="10"/>
      <c r="BE46" s="10"/>
      <c r="BH46" s="10"/>
      <c r="BI46" s="10"/>
      <c r="BL46" s="10"/>
      <c r="BM46" s="10"/>
      <c r="BN46">
        <f>SUMIFS($D46:$BM46,$D$9:$BM$9,$H$1)</f>
        <v>0</v>
      </c>
      <c r="BO46">
        <f>SUMIFS($D46:$BM46,$D$9:$BM$9,$H$2)</f>
        <v>0</v>
      </c>
      <c r="BP46">
        <f>BN46-BO46</f>
        <v>0</v>
      </c>
    </row>
    <row r="47" spans="2:68">
      <c r="B47" s="6" t="s">
        <v>82</v>
      </c>
      <c r="C47" s="6" t="s">
        <v>81</v>
      </c>
      <c r="D47" s="10"/>
      <c r="E47" s="10"/>
      <c r="H47" s="10"/>
      <c r="I47" s="10"/>
      <c r="L47" s="10"/>
      <c r="M47" s="10"/>
      <c r="P47" s="10"/>
      <c r="Q47" s="10"/>
      <c r="T47" s="10"/>
      <c r="U47" s="10"/>
      <c r="X47" s="10"/>
      <c r="Y47" s="10"/>
      <c r="AB47" s="10"/>
      <c r="AC47" s="10"/>
      <c r="AF47" s="10"/>
      <c r="AG47" s="10"/>
      <c r="AJ47" s="10"/>
      <c r="AK47" s="10"/>
      <c r="AN47" s="10"/>
      <c r="AO47" s="10"/>
      <c r="AR47" s="10"/>
      <c r="AS47" s="10"/>
      <c r="AV47" s="10"/>
      <c r="AW47" s="10"/>
      <c r="AZ47" s="10"/>
      <c r="BA47" s="10"/>
      <c r="BD47" s="10"/>
      <c r="BE47" s="10"/>
      <c r="BH47" s="10"/>
      <c r="BI47" s="10"/>
      <c r="BL47" s="10"/>
      <c r="BM47" s="10"/>
      <c r="BN47">
        <f>SUMIFS($D47:$BM47,$D$9:$BM$9,$H$1)</f>
        <v>0</v>
      </c>
      <c r="BO47">
        <f>SUMIFS($D47:$BM47,$D$9:$BM$9,$H$2)</f>
        <v>0</v>
      </c>
      <c r="BP47">
        <f>BN47-BO47</f>
        <v>0</v>
      </c>
    </row>
    <row r="48" spans="2:68">
      <c r="B48" s="6" t="s">
        <v>83</v>
      </c>
      <c r="C48" s="6" t="s">
        <v>84</v>
      </c>
      <c r="D48" s="15"/>
      <c r="E48" s="15"/>
      <c r="F48" s="9"/>
      <c r="G48" s="9"/>
      <c r="H48" s="15"/>
      <c r="I48" s="15"/>
      <c r="J48" s="9"/>
      <c r="K48" s="9"/>
      <c r="L48" s="15"/>
      <c r="M48" s="15"/>
      <c r="N48" s="9"/>
      <c r="O48" s="9"/>
      <c r="P48" s="15"/>
      <c r="Q48" s="15"/>
      <c r="R48" s="9"/>
      <c r="S48" s="9"/>
      <c r="T48" s="15"/>
      <c r="U48" s="15"/>
      <c r="V48" s="9"/>
      <c r="W48" s="9"/>
      <c r="X48" s="15"/>
      <c r="Y48" s="15"/>
      <c r="Z48" s="9"/>
      <c r="AA48" s="9"/>
      <c r="AB48" s="15"/>
      <c r="AC48" s="15"/>
      <c r="AD48" s="9"/>
      <c r="AE48" s="9"/>
      <c r="AF48" s="15"/>
      <c r="AG48" s="15"/>
      <c r="AH48" s="9"/>
      <c r="AI48" s="9"/>
      <c r="AJ48" s="15"/>
      <c r="AK48" s="15"/>
      <c r="AL48" s="9"/>
      <c r="AM48" s="9"/>
      <c r="AN48" s="15"/>
      <c r="AO48" s="15"/>
      <c r="AP48" s="9"/>
      <c r="AQ48" s="9"/>
      <c r="AR48" s="15"/>
      <c r="AS48" s="15"/>
      <c r="AT48" s="9"/>
      <c r="AU48" s="9"/>
      <c r="AV48" s="15"/>
      <c r="AW48" s="15"/>
      <c r="AX48" s="9"/>
      <c r="AY48" s="9"/>
      <c r="AZ48" s="15"/>
      <c r="BA48" s="15"/>
      <c r="BB48" s="9"/>
      <c r="BC48" s="9"/>
      <c r="BD48" s="15"/>
      <c r="BE48" s="15"/>
      <c r="BF48" s="9"/>
      <c r="BG48" s="9"/>
      <c r="BH48" s="15"/>
      <c r="BI48" s="15"/>
      <c r="BJ48" s="9"/>
      <c r="BK48" s="9"/>
      <c r="BL48" s="15"/>
      <c r="BM48" s="15"/>
      <c r="BN48">
        <f>SUMIFS($D48:$BM48,$D$9:$BM$9,$H$1)</f>
        <v>0</v>
      </c>
      <c r="BO48">
        <f>SUMIFS($D48:$BM48,$D$9:$BM$9,$H$2)</f>
        <v>0</v>
      </c>
      <c r="BP48">
        <f>BN48-BO48</f>
        <v>0</v>
      </c>
    </row>
    <row r="49" spans="2:68">
      <c r="B49" s="6" t="s">
        <v>85</v>
      </c>
      <c r="C49" s="6" t="s">
        <v>86</v>
      </c>
      <c r="D49" s="10"/>
      <c r="E49" s="10"/>
      <c r="H49" s="10"/>
      <c r="I49" s="10"/>
      <c r="L49" s="10"/>
      <c r="M49" s="10"/>
      <c r="P49" s="10"/>
      <c r="Q49" s="10"/>
      <c r="T49" s="10"/>
      <c r="U49" s="10"/>
      <c r="X49" s="10"/>
      <c r="Y49" s="10"/>
      <c r="AB49" s="10"/>
      <c r="AC49" s="10"/>
      <c r="AF49" s="10"/>
      <c r="AG49" s="10"/>
      <c r="AJ49" s="10"/>
      <c r="AK49" s="10"/>
      <c r="AN49" s="10"/>
      <c r="AO49" s="10"/>
      <c r="AR49" s="10"/>
      <c r="AS49" s="10"/>
      <c r="AV49" s="10"/>
      <c r="AW49" s="10"/>
      <c r="AZ49" s="10"/>
      <c r="BA49" s="10"/>
      <c r="BD49" s="10"/>
      <c r="BE49" s="10"/>
      <c r="BH49" s="10"/>
      <c r="BI49" s="10"/>
      <c r="BL49" s="10"/>
      <c r="BM49" s="10"/>
      <c r="BN49">
        <f>SUMIFS($D49:$BM49,$D$9:$BM$9,$H$1)</f>
        <v>0</v>
      </c>
      <c r="BO49">
        <f>SUMIFS($D49:$BM49,$D$9:$BM$9,$H$2)</f>
        <v>0</v>
      </c>
      <c r="BP49">
        <f>BN49-BO49</f>
        <v>0</v>
      </c>
    </row>
    <row r="50" spans="2:68">
      <c r="B50" s="6" t="s">
        <v>87</v>
      </c>
      <c r="C50" s="6" t="s">
        <v>88</v>
      </c>
      <c r="BN50">
        <f>SUMIFS($D50:$BM50,$D$9:$BM$9,$H$1)</f>
        <v>0</v>
      </c>
      <c r="BO50">
        <f>SUMIFS($D50:$BM50,$D$9:$BM$9,$H$2)</f>
        <v>0</v>
      </c>
      <c r="BP50">
        <f>BN50-BO50</f>
        <v>0</v>
      </c>
    </row>
    <row r="51" spans="2:68">
      <c r="B51" s="6" t="s">
        <v>89</v>
      </c>
      <c r="C51" s="6" t="s">
        <v>88</v>
      </c>
      <c r="BN51">
        <f>SUMIFS($D51:$BM51,$D$9:$BM$9,$H$1)</f>
        <v>0</v>
      </c>
      <c r="BO51">
        <f>SUMIFS($D51:$BM51,$D$9:$BM$9,$H$2)</f>
        <v>0</v>
      </c>
      <c r="BP51">
        <f>BN51-BO51</f>
        <v>0</v>
      </c>
    </row>
    <row r="52" spans="2:68">
      <c r="B52" s="6" t="s">
        <v>90</v>
      </c>
      <c r="C52" s="6" t="s">
        <v>91</v>
      </c>
      <c r="BN52">
        <f>SUMIFS($D52:$BM52,$D$9:$BM$9,$H$1)</f>
        <v>0</v>
      </c>
      <c r="BO52">
        <f>SUMIFS($D52:$BM52,$D$9:$BM$9,$H$2)</f>
        <v>0</v>
      </c>
      <c r="BP52">
        <f>BN52-BO52</f>
        <v>0</v>
      </c>
    </row>
    <row r="53" spans="2:68">
      <c r="B53" s="6" t="s">
        <v>92</v>
      </c>
      <c r="C53" s="6" t="s">
        <v>91</v>
      </c>
      <c r="BN53">
        <f>SUMIFS($D53:$BM53,$D$9:$BM$9,$H$1)</f>
        <v>0</v>
      </c>
      <c r="BO53">
        <f>SUMIFS($D53:$BM53,$D$9:$BM$9,$H$2)</f>
        <v>0</v>
      </c>
      <c r="BP53">
        <f>BN53-BO53</f>
        <v>0</v>
      </c>
    </row>
    <row r="54" spans="2:68">
      <c r="B54" s="6" t="s">
        <v>93</v>
      </c>
      <c r="C54" s="6" t="s">
        <v>94</v>
      </c>
      <c r="BN54">
        <f>SUMIFS($D54:$BM54,$D$9:$BM$9,$H$1)</f>
        <v>0</v>
      </c>
      <c r="BO54">
        <f>SUMIFS($D54:$BM54,$D$9:$BM$9,$H$2)</f>
        <v>0</v>
      </c>
      <c r="BP54">
        <f>BN54-BO54</f>
        <v>0</v>
      </c>
    </row>
    <row r="55" spans="2:68">
      <c r="B55" s="6" t="s">
        <v>95</v>
      </c>
      <c r="C55" s="6" t="s">
        <v>94</v>
      </c>
      <c r="BN55">
        <f>SUMIFS($D55:$BM55,$D$9:$BM$9,$H$1)</f>
        <v>0</v>
      </c>
      <c r="BO55">
        <f>SUMIFS($D55:$BM55,$D$9:$BM$9,$H$2)</f>
        <v>0</v>
      </c>
      <c r="BP55">
        <f>BN55-BO55</f>
        <v>0</v>
      </c>
    </row>
    <row r="56" spans="2:68">
      <c r="B56" s="6" t="s">
        <v>96</v>
      </c>
      <c r="C56" s="6" t="s">
        <v>97</v>
      </c>
      <c r="BN56">
        <f>SUMIFS($D56:$BM56,$D$9:$BM$9,$H$1)</f>
        <v>0</v>
      </c>
      <c r="BO56">
        <f>SUMIFS($D56:$BM56,$D$9:$BM$9,$H$2)</f>
        <v>0</v>
      </c>
      <c r="BP56">
        <f>BN56-BO56</f>
        <v>0</v>
      </c>
    </row>
    <row r="57" spans="2:68">
      <c r="B57" s="6" t="s">
        <v>98</v>
      </c>
      <c r="C57" s="6" t="s">
        <v>99</v>
      </c>
      <c r="BN57">
        <f>SUMIFS($D57:$BM57,$D$9:$BM$9,$H$1)</f>
        <v>0</v>
      </c>
      <c r="BO57">
        <f>SUMIFS($D57:$BM57,$D$9:$BM$9,$H$2)</f>
        <v>0</v>
      </c>
      <c r="BP57">
        <f>BN57-BO57</f>
        <v>0</v>
      </c>
    </row>
  </sheetData>
  <sortState xmlns:xlrd2="http://schemas.microsoft.com/office/spreadsheetml/2017/richdata2" ref="B10:BP57">
    <sortCondition descending="1" ref="BP10:BP57"/>
  </sortState>
  <mergeCells count="93">
    <mergeCell ref="AP7:AQ7"/>
    <mergeCell ref="AR7:AS7"/>
    <mergeCell ref="AT7:AU7"/>
    <mergeCell ref="AV7:AW7"/>
    <mergeCell ref="BL7:BM7"/>
    <mergeCell ref="AZ7:BA7"/>
    <mergeCell ref="BB7:BC7"/>
    <mergeCell ref="BD7:BE7"/>
    <mergeCell ref="BF7:BG7"/>
    <mergeCell ref="BH7:BI7"/>
    <mergeCell ref="BJ7:BK7"/>
    <mergeCell ref="P7:Q7"/>
    <mergeCell ref="R7:S7"/>
    <mergeCell ref="T7:U7"/>
    <mergeCell ref="V7:W7"/>
    <mergeCell ref="X7:Y7"/>
    <mergeCell ref="Z7:AA7"/>
    <mergeCell ref="BF6:BG6"/>
    <mergeCell ref="BH6:BI6"/>
    <mergeCell ref="BJ6:BK6"/>
    <mergeCell ref="BL6:BM6"/>
    <mergeCell ref="BB6:BC6"/>
    <mergeCell ref="BD6:BE6"/>
    <mergeCell ref="AF6:AG6"/>
    <mergeCell ref="AX7:AY7"/>
    <mergeCell ref="AB7:AC7"/>
    <mergeCell ref="AD7:AE7"/>
    <mergeCell ref="AF7:AG7"/>
    <mergeCell ref="AH7:AI7"/>
    <mergeCell ref="AJ7:AK7"/>
    <mergeCell ref="AL7:AM7"/>
    <mergeCell ref="AN7:AO7"/>
    <mergeCell ref="D7:E7"/>
    <mergeCell ref="F7:G7"/>
    <mergeCell ref="H7:I7"/>
    <mergeCell ref="J7:K7"/>
    <mergeCell ref="L7:M7"/>
    <mergeCell ref="N7:O7"/>
    <mergeCell ref="AT6:AU6"/>
    <mergeCell ref="AV6:AW6"/>
    <mergeCell ref="AX6:AY6"/>
    <mergeCell ref="AZ6:BA6"/>
    <mergeCell ref="AH6:AI6"/>
    <mergeCell ref="AJ6:AK6"/>
    <mergeCell ref="AL6:AM6"/>
    <mergeCell ref="AN6:AO6"/>
    <mergeCell ref="AP6:AQ6"/>
    <mergeCell ref="AR6:AS6"/>
    <mergeCell ref="V6:W6"/>
    <mergeCell ref="X6:Y6"/>
    <mergeCell ref="Z6:AA6"/>
    <mergeCell ref="AB6:AC6"/>
    <mergeCell ref="AD6:AE6"/>
    <mergeCell ref="BL5:BM5"/>
    <mergeCell ref="D6:E6"/>
    <mergeCell ref="F6:G6"/>
    <mergeCell ref="H6:I6"/>
    <mergeCell ref="J6:K6"/>
    <mergeCell ref="L6:M6"/>
    <mergeCell ref="N6:O6"/>
    <mergeCell ref="P6:Q6"/>
    <mergeCell ref="R6:S6"/>
    <mergeCell ref="T6:U6"/>
    <mergeCell ref="AZ5:BA5"/>
    <mergeCell ref="BB5:BC5"/>
    <mergeCell ref="BD5:BE5"/>
    <mergeCell ref="BF5:BG5"/>
    <mergeCell ref="BH5:BI5"/>
    <mergeCell ref="BJ5:BK5"/>
    <mergeCell ref="AX5:AY5"/>
    <mergeCell ref="AB5:AC5"/>
    <mergeCell ref="AD5:AE5"/>
    <mergeCell ref="AF5:AG5"/>
    <mergeCell ref="AH5:AI5"/>
    <mergeCell ref="AJ5:AK5"/>
    <mergeCell ref="AL5:AM5"/>
    <mergeCell ref="AN5:AO5"/>
    <mergeCell ref="AP5:AQ5"/>
    <mergeCell ref="AR5:AS5"/>
    <mergeCell ref="AT5:AU5"/>
    <mergeCell ref="AV5:AW5"/>
    <mergeCell ref="Z5:AA5"/>
    <mergeCell ref="D5:E5"/>
    <mergeCell ref="F5:G5"/>
    <mergeCell ref="H5:I5"/>
    <mergeCell ref="J5:K5"/>
    <mergeCell ref="L5:M5"/>
    <mergeCell ref="N5:O5"/>
    <mergeCell ref="P5:Q5"/>
    <mergeCell ref="R5:S5"/>
    <mergeCell ref="T5:U5"/>
    <mergeCell ref="V5:W5"/>
    <mergeCell ref="X5:Y5"/>
  </mergeCells>
  <conditionalFormatting sqref="A9:XFD9">
    <cfRule type="cellIs" dxfId="14" priority="3" operator="equal">
      <formula>"J"</formula>
    </cfRule>
    <cfRule type="cellIs" dxfId="13" priority="4" operator="equal">
      <formula>"A"</formula>
    </cfRule>
  </conditionalFormatting>
  <conditionalFormatting sqref="B10:BP60">
    <cfRule type="expression" dxfId="12" priority="2">
      <formula>MOD(ROW(),2)</formula>
    </cfRule>
  </conditionalFormatting>
  <conditionalFormatting sqref="BP10:BP57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{CB9BE888-89FE-48DD-9C55-889409B0B907}</x14:id>
        </ext>
      </extLst>
    </cfRule>
  </conditionalFormatting>
  <dataValidations count="1">
    <dataValidation type="whole" allowBlank="1" showInputMessage="1" showErrorMessage="1" error="Attention: Entier compris entre 0 et 12 !" sqref="D10:BM49" xr:uid="{71811205-1B2E-4D3F-BB9B-C70306766221}">
      <formula1>0</formula1>
      <formula2>12</formula2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130" orientation="portrait" r:id="rId1"/>
  <headerFooter>
    <oddFooter>&amp;L&amp;D - &amp;T&amp;RMois de &amp;A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9BE888-89FE-48DD-9C55-889409B0B9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BP10:BP57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9D2AC-E157-4772-A12B-EC5DF3D1050A}">
  <sheetPr codeName="Feuil11"/>
  <dimension ref="B1:BQ57"/>
  <sheetViews>
    <sheetView showGridLines="0" showRowColHeaders="0" zoomScaleNormal="100" workbookViewId="0">
      <pane xSplit="3" ySplit="9" topLeftCell="AI10" activePane="bottomRight" state="frozen"/>
      <selection pane="bottomRight" activeCell="BN6" sqref="BN6:BP6"/>
      <selection pane="bottomLeft" activeCell="CC17" sqref="CC17"/>
      <selection pane="topRight" activeCell="CC17" sqref="CC17"/>
    </sheetView>
  </sheetViews>
  <sheetFormatPr defaultColWidth="11.42578125" defaultRowHeight="15"/>
  <cols>
    <col min="1" max="1" width="2.42578125" customWidth="1"/>
    <col min="2" max="2" width="32.140625" style="6" customWidth="1"/>
    <col min="3" max="3" width="22.42578125" style="6" customWidth="1"/>
    <col min="4" max="65" width="3.7109375" customWidth="1"/>
    <col min="66" max="66" width="4.42578125" bestFit="1" customWidth="1"/>
    <col min="67" max="67" width="4.28515625" customWidth="1"/>
    <col min="68" max="68" width="7.42578125" bestFit="1" customWidth="1"/>
    <col min="69" max="69" width="7.7109375" customWidth="1"/>
    <col min="70" max="105" width="3.7109375" customWidth="1"/>
  </cols>
  <sheetData>
    <row r="1" spans="2:69">
      <c r="H1" s="4" t="s">
        <v>0</v>
      </c>
      <c r="I1" t="s">
        <v>1</v>
      </c>
      <c r="N1" t="s">
        <v>2</v>
      </c>
      <c r="O1" t="s">
        <v>3</v>
      </c>
    </row>
    <row r="2" spans="2:69">
      <c r="H2" s="5" t="s">
        <v>4</v>
      </c>
      <c r="I2" t="s">
        <v>5</v>
      </c>
      <c r="N2" t="s">
        <v>6</v>
      </c>
      <c r="O2" t="s">
        <v>7</v>
      </c>
    </row>
    <row r="3" spans="2:69">
      <c r="N3" t="s">
        <v>8</v>
      </c>
      <c r="O3" t="s">
        <v>9</v>
      </c>
    </row>
    <row r="4" spans="2:69">
      <c r="B4" s="12"/>
      <c r="C4" s="12"/>
    </row>
    <row r="5" spans="2:69" s="2" customFormat="1">
      <c r="B5" s="13"/>
      <c r="C5" s="13"/>
      <c r="D5" s="45">
        <v>1</v>
      </c>
      <c r="E5" s="45"/>
      <c r="F5" s="45">
        <v>2</v>
      </c>
      <c r="G5" s="45"/>
      <c r="H5" s="45">
        <v>3</v>
      </c>
      <c r="I5" s="45"/>
      <c r="J5" s="45">
        <v>4</v>
      </c>
      <c r="K5" s="45"/>
      <c r="L5" s="45">
        <v>5</v>
      </c>
      <c r="M5" s="45"/>
      <c r="N5" s="45">
        <v>6</v>
      </c>
      <c r="O5" s="45"/>
      <c r="P5" s="45">
        <v>7</v>
      </c>
      <c r="Q5" s="45"/>
      <c r="R5" s="45">
        <v>8</v>
      </c>
      <c r="S5" s="45"/>
      <c r="T5" s="45">
        <v>9</v>
      </c>
      <c r="U5" s="45"/>
      <c r="V5" s="45">
        <v>10</v>
      </c>
      <c r="W5" s="45"/>
      <c r="X5" s="45">
        <v>11</v>
      </c>
      <c r="Y5" s="45"/>
      <c r="Z5" s="45">
        <v>12</v>
      </c>
      <c r="AA5" s="45"/>
      <c r="AB5" s="45">
        <v>13</v>
      </c>
      <c r="AC5" s="45"/>
      <c r="AD5" s="45">
        <v>14</v>
      </c>
      <c r="AE5" s="45"/>
      <c r="AF5" s="45">
        <v>15</v>
      </c>
      <c r="AG5" s="45"/>
      <c r="AH5" s="45">
        <v>16</v>
      </c>
      <c r="AI5" s="45"/>
      <c r="AJ5" s="45">
        <v>17</v>
      </c>
      <c r="AK5" s="45"/>
      <c r="AL5" s="45">
        <v>18</v>
      </c>
      <c r="AM5" s="45"/>
      <c r="AN5" s="45">
        <v>19</v>
      </c>
      <c r="AO5" s="45"/>
      <c r="AP5" s="45">
        <v>20</v>
      </c>
      <c r="AQ5" s="45"/>
      <c r="AR5" s="45">
        <v>21</v>
      </c>
      <c r="AS5" s="45"/>
      <c r="AT5" s="45">
        <v>22</v>
      </c>
      <c r="AU5" s="45"/>
      <c r="AV5" s="45">
        <v>23</v>
      </c>
      <c r="AW5" s="45"/>
      <c r="AX5" s="45">
        <v>24</v>
      </c>
      <c r="AY5" s="45"/>
      <c r="AZ5" s="45">
        <v>25</v>
      </c>
      <c r="BA5" s="45"/>
      <c r="BB5" s="45">
        <v>26</v>
      </c>
      <c r="BC5" s="45"/>
      <c r="BD5" s="45">
        <v>27</v>
      </c>
      <c r="BE5" s="45"/>
      <c r="BF5" s="45">
        <v>28</v>
      </c>
      <c r="BG5" s="45"/>
      <c r="BH5" s="45">
        <v>29</v>
      </c>
      <c r="BI5" s="45"/>
      <c r="BJ5" s="45">
        <v>30</v>
      </c>
      <c r="BK5" s="45"/>
      <c r="BL5" s="45">
        <v>31</v>
      </c>
      <c r="BM5" s="45"/>
      <c r="BQ5" s="6" t="s">
        <v>10</v>
      </c>
    </row>
    <row r="6" spans="2:69">
      <c r="D6" s="49" t="str">
        <f t="shared" ref="D6:BJ6" si="0">TEXT(WEEKDAY(DATE($BQ$6,9,D$5),1),"jjj")</f>
        <v>mar.</v>
      </c>
      <c r="E6" s="49"/>
      <c r="F6" s="49" t="str">
        <f t="shared" si="0"/>
        <v>mer.</v>
      </c>
      <c r="G6" s="49"/>
      <c r="H6" s="49" t="str">
        <f t="shared" si="0"/>
        <v>jeu.</v>
      </c>
      <c r="I6" s="49"/>
      <c r="J6" s="49" t="str">
        <f t="shared" si="0"/>
        <v>ven.</v>
      </c>
      <c r="K6" s="49"/>
      <c r="L6" s="49" t="str">
        <f t="shared" si="0"/>
        <v>sam.</v>
      </c>
      <c r="M6" s="49"/>
      <c r="N6" s="49" t="str">
        <f t="shared" si="0"/>
        <v>dim.</v>
      </c>
      <c r="O6" s="49"/>
      <c r="P6" s="49" t="str">
        <f t="shared" si="0"/>
        <v>lun.</v>
      </c>
      <c r="Q6" s="49"/>
      <c r="R6" s="49" t="str">
        <f t="shared" si="0"/>
        <v>mar.</v>
      </c>
      <c r="S6" s="49"/>
      <c r="T6" s="49" t="str">
        <f t="shared" si="0"/>
        <v>mer.</v>
      </c>
      <c r="U6" s="49"/>
      <c r="V6" s="49" t="str">
        <f t="shared" si="0"/>
        <v>jeu.</v>
      </c>
      <c r="W6" s="49"/>
      <c r="X6" s="49" t="str">
        <f t="shared" si="0"/>
        <v>ven.</v>
      </c>
      <c r="Y6" s="49"/>
      <c r="Z6" s="49" t="str">
        <f t="shared" si="0"/>
        <v>sam.</v>
      </c>
      <c r="AA6" s="49"/>
      <c r="AB6" s="49" t="str">
        <f t="shared" si="0"/>
        <v>dim.</v>
      </c>
      <c r="AC6" s="49"/>
      <c r="AD6" s="49" t="str">
        <f t="shared" si="0"/>
        <v>lun.</v>
      </c>
      <c r="AE6" s="49"/>
      <c r="AF6" s="49" t="str">
        <f t="shared" si="0"/>
        <v>mar.</v>
      </c>
      <c r="AG6" s="49"/>
      <c r="AH6" s="49" t="str">
        <f t="shared" si="0"/>
        <v>mer.</v>
      </c>
      <c r="AI6" s="49"/>
      <c r="AJ6" s="49" t="str">
        <f t="shared" si="0"/>
        <v>jeu.</v>
      </c>
      <c r="AK6" s="49"/>
      <c r="AL6" s="49" t="str">
        <f t="shared" si="0"/>
        <v>ven.</v>
      </c>
      <c r="AM6" s="49"/>
      <c r="AN6" s="49" t="str">
        <f t="shared" si="0"/>
        <v>sam.</v>
      </c>
      <c r="AO6" s="49"/>
      <c r="AP6" s="49" t="str">
        <f t="shared" si="0"/>
        <v>dim.</v>
      </c>
      <c r="AQ6" s="49"/>
      <c r="AR6" s="49" t="str">
        <f t="shared" si="0"/>
        <v>lun.</v>
      </c>
      <c r="AS6" s="49"/>
      <c r="AT6" s="49" t="str">
        <f t="shared" si="0"/>
        <v>mar.</v>
      </c>
      <c r="AU6" s="49"/>
      <c r="AV6" s="49" t="str">
        <f t="shared" si="0"/>
        <v>mer.</v>
      </c>
      <c r="AW6" s="49"/>
      <c r="AX6" s="49" t="str">
        <f t="shared" si="0"/>
        <v>jeu.</v>
      </c>
      <c r="AY6" s="49"/>
      <c r="AZ6" s="49" t="str">
        <f t="shared" si="0"/>
        <v>ven.</v>
      </c>
      <c r="BA6" s="49"/>
      <c r="BB6" s="49" t="str">
        <f t="shared" si="0"/>
        <v>sam.</v>
      </c>
      <c r="BC6" s="49"/>
      <c r="BD6" s="49" t="str">
        <f t="shared" si="0"/>
        <v>dim.</v>
      </c>
      <c r="BE6" s="49"/>
      <c r="BF6" s="49" t="str">
        <f t="shared" si="0"/>
        <v>lun.</v>
      </c>
      <c r="BG6" s="49"/>
      <c r="BH6" s="49" t="str">
        <f t="shared" si="0"/>
        <v>mar.</v>
      </c>
      <c r="BI6" s="49"/>
      <c r="BJ6" s="49" t="str">
        <f t="shared" si="0"/>
        <v>mer.</v>
      </c>
      <c r="BK6" s="49"/>
      <c r="BL6" s="49"/>
      <c r="BM6" s="49"/>
      <c r="BN6" s="14" t="str">
        <f>Janvier!BN6</f>
        <v>LIAGE 3</v>
      </c>
      <c r="BO6" s="14"/>
      <c r="BP6" s="14"/>
      <c r="BQ6" s="7">
        <f>Janvier!BQ6</f>
        <v>2020</v>
      </c>
    </row>
    <row r="7" spans="2:69">
      <c r="B7" s="30" t="s">
        <v>114</v>
      </c>
      <c r="C7" s="1"/>
      <c r="D7" s="47">
        <v>1</v>
      </c>
      <c r="E7" s="48"/>
      <c r="F7" s="47">
        <v>2</v>
      </c>
      <c r="G7" s="48"/>
      <c r="H7" s="47">
        <v>3</v>
      </c>
      <c r="I7" s="48"/>
      <c r="J7" s="47">
        <v>4</v>
      </c>
      <c r="K7" s="48"/>
      <c r="L7" s="47">
        <v>5</v>
      </c>
      <c r="M7" s="48"/>
      <c r="N7" s="47">
        <v>6</v>
      </c>
      <c r="O7" s="48"/>
      <c r="P7" s="47">
        <v>7</v>
      </c>
      <c r="Q7" s="48"/>
      <c r="R7" s="47">
        <v>8</v>
      </c>
      <c r="S7" s="48"/>
      <c r="T7" s="47">
        <v>9</v>
      </c>
      <c r="U7" s="48"/>
      <c r="V7" s="47">
        <v>10</v>
      </c>
      <c r="W7" s="48"/>
      <c r="X7" s="47">
        <v>11</v>
      </c>
      <c r="Y7" s="48"/>
      <c r="Z7" s="47">
        <v>12</v>
      </c>
      <c r="AA7" s="48"/>
      <c r="AB7" s="47">
        <v>13</v>
      </c>
      <c r="AC7" s="48"/>
      <c r="AD7" s="47">
        <v>14</v>
      </c>
      <c r="AE7" s="48"/>
      <c r="AF7" s="47">
        <v>15</v>
      </c>
      <c r="AG7" s="48"/>
      <c r="AH7" s="47">
        <v>16</v>
      </c>
      <c r="AI7" s="48"/>
      <c r="AJ7" s="47">
        <v>17</v>
      </c>
      <c r="AK7" s="48"/>
      <c r="AL7" s="47">
        <v>18</v>
      </c>
      <c r="AM7" s="48"/>
      <c r="AN7" s="47">
        <v>19</v>
      </c>
      <c r="AO7" s="48"/>
      <c r="AP7" s="47">
        <v>20</v>
      </c>
      <c r="AQ7" s="48"/>
      <c r="AR7" s="47">
        <v>21</v>
      </c>
      <c r="AS7" s="48"/>
      <c r="AT7" s="47">
        <v>22</v>
      </c>
      <c r="AU7" s="48"/>
      <c r="AV7" s="47">
        <v>23</v>
      </c>
      <c r="AW7" s="48"/>
      <c r="AX7" s="47">
        <v>24</v>
      </c>
      <c r="AY7" s="48"/>
      <c r="AZ7" s="47">
        <v>25</v>
      </c>
      <c r="BA7" s="48"/>
      <c r="BB7" s="47">
        <v>26</v>
      </c>
      <c r="BC7" s="48"/>
      <c r="BD7" s="47">
        <v>27</v>
      </c>
      <c r="BE7" s="48"/>
      <c r="BF7" s="47">
        <v>28</v>
      </c>
      <c r="BG7" s="48"/>
      <c r="BH7" s="47">
        <v>29</v>
      </c>
      <c r="BI7" s="48"/>
      <c r="BJ7" s="47">
        <v>30</v>
      </c>
      <c r="BK7" s="48"/>
      <c r="BL7" s="47"/>
      <c r="BM7" s="48"/>
    </row>
    <row r="8" spans="2:69" s="11" customFormat="1">
      <c r="B8" s="8"/>
      <c r="C8" s="8" t="s">
        <v>115</v>
      </c>
      <c r="D8" s="16"/>
      <c r="E8" s="17"/>
      <c r="F8" s="18"/>
      <c r="G8" s="17"/>
      <c r="H8" s="19"/>
      <c r="I8" s="20"/>
      <c r="J8" s="19"/>
      <c r="K8" s="20"/>
      <c r="L8" s="19"/>
      <c r="M8" s="20"/>
      <c r="N8" s="19"/>
      <c r="O8" s="20"/>
      <c r="P8" s="19"/>
      <c r="Q8" s="20"/>
      <c r="R8" s="19"/>
      <c r="S8" s="20"/>
      <c r="T8" s="19"/>
      <c r="U8" s="20"/>
      <c r="V8" s="19"/>
      <c r="W8" s="20"/>
      <c r="X8" s="19"/>
      <c r="Y8" s="20"/>
      <c r="Z8" s="19"/>
      <c r="AA8" s="20"/>
      <c r="AB8" s="19"/>
      <c r="AC8" s="20"/>
      <c r="AD8" s="19"/>
      <c r="AE8" s="20"/>
      <c r="AF8" s="19"/>
      <c r="AG8" s="20"/>
      <c r="AH8" s="19"/>
      <c r="AI8" s="20"/>
      <c r="AJ8" s="19"/>
      <c r="AK8" s="20"/>
      <c r="AL8" s="19"/>
      <c r="AM8" s="20"/>
      <c r="AN8" s="19"/>
      <c r="AO8" s="20"/>
      <c r="AP8" s="19"/>
      <c r="AQ8" s="20"/>
      <c r="AR8" s="19"/>
      <c r="AS8" s="20"/>
      <c r="AT8" s="19"/>
      <c r="AU8" s="20"/>
      <c r="AV8" s="19"/>
      <c r="AW8" s="20"/>
      <c r="AX8" s="19"/>
      <c r="AY8" s="20"/>
      <c r="AZ8" s="19"/>
      <c r="BA8" s="20"/>
      <c r="BB8" s="19"/>
      <c r="BC8" s="20"/>
      <c r="BD8" s="19"/>
      <c r="BE8" s="20"/>
      <c r="BF8" s="19"/>
      <c r="BG8" s="20"/>
      <c r="BH8" s="19"/>
      <c r="BI8" s="20"/>
      <c r="BJ8" s="19"/>
      <c r="BK8" s="20"/>
      <c r="BL8" s="19"/>
      <c r="BM8" s="21"/>
      <c r="BN8">
        <f>SUM(BN10:BN49)</f>
        <v>71</v>
      </c>
      <c r="BO8">
        <f>SUM(BO10:BO49)</f>
        <v>27</v>
      </c>
      <c r="BP8">
        <f>SUM(BP10:BP49)</f>
        <v>44</v>
      </c>
    </row>
    <row r="9" spans="2:69" s="3" customFormat="1" ht="12" customHeight="1">
      <c r="B9" s="23" t="s">
        <v>14</v>
      </c>
      <c r="C9" s="23" t="s">
        <v>15</v>
      </c>
      <c r="D9" s="24" t="str">
        <f>$H$1</f>
        <v>A</v>
      </c>
      <c r="E9" s="25" t="str">
        <f>$H$2</f>
        <v>J</v>
      </c>
      <c r="F9" s="26" t="str">
        <f>$H$1</f>
        <v>A</v>
      </c>
      <c r="G9" s="27" t="str">
        <f>$H$2</f>
        <v>J</v>
      </c>
      <c r="H9" s="28" t="str">
        <f>$H$1</f>
        <v>A</v>
      </c>
      <c r="I9" s="25" t="str">
        <f>$H$2</f>
        <v>J</v>
      </c>
      <c r="J9" s="26" t="str">
        <f>$H$1</f>
        <v>A</v>
      </c>
      <c r="K9" s="27" t="str">
        <f>$H$2</f>
        <v>J</v>
      </c>
      <c r="L9" s="28" t="str">
        <f>$H$1</f>
        <v>A</v>
      </c>
      <c r="M9" s="25" t="str">
        <f>$H$2</f>
        <v>J</v>
      </c>
      <c r="N9" s="26" t="str">
        <f>$H$1</f>
        <v>A</v>
      </c>
      <c r="O9" s="27" t="str">
        <f>$H$2</f>
        <v>J</v>
      </c>
      <c r="P9" s="28" t="str">
        <f>$H$1</f>
        <v>A</v>
      </c>
      <c r="Q9" s="25" t="str">
        <f>$H$2</f>
        <v>J</v>
      </c>
      <c r="R9" s="26" t="str">
        <f>$H$1</f>
        <v>A</v>
      </c>
      <c r="S9" s="27" t="str">
        <f>$H$2</f>
        <v>J</v>
      </c>
      <c r="T9" s="28" t="str">
        <f>$H$1</f>
        <v>A</v>
      </c>
      <c r="U9" s="25" t="str">
        <f>$H$2</f>
        <v>J</v>
      </c>
      <c r="V9" s="26" t="str">
        <f>$H$1</f>
        <v>A</v>
      </c>
      <c r="W9" s="27" t="str">
        <f>$H$2</f>
        <v>J</v>
      </c>
      <c r="X9" s="28" t="str">
        <f>$H$1</f>
        <v>A</v>
      </c>
      <c r="Y9" s="25" t="str">
        <f>$H$2</f>
        <v>J</v>
      </c>
      <c r="Z9" s="26" t="str">
        <f>$H$1</f>
        <v>A</v>
      </c>
      <c r="AA9" s="27" t="str">
        <f>$H$2</f>
        <v>J</v>
      </c>
      <c r="AB9" s="28" t="str">
        <f>$H$1</f>
        <v>A</v>
      </c>
      <c r="AC9" s="25" t="str">
        <f>$H$2</f>
        <v>J</v>
      </c>
      <c r="AD9" s="26" t="str">
        <f>$H$1</f>
        <v>A</v>
      </c>
      <c r="AE9" s="27" t="str">
        <f>$H$2</f>
        <v>J</v>
      </c>
      <c r="AF9" s="28" t="str">
        <f>$H$1</f>
        <v>A</v>
      </c>
      <c r="AG9" s="25" t="str">
        <f>$H$2</f>
        <v>J</v>
      </c>
      <c r="AH9" s="26" t="str">
        <f>$H$1</f>
        <v>A</v>
      </c>
      <c r="AI9" s="27" t="str">
        <f>$H$2</f>
        <v>J</v>
      </c>
      <c r="AJ9" s="28" t="str">
        <f>$H$1</f>
        <v>A</v>
      </c>
      <c r="AK9" s="25" t="str">
        <f>$H$2</f>
        <v>J</v>
      </c>
      <c r="AL9" s="26" t="str">
        <f>$H$1</f>
        <v>A</v>
      </c>
      <c r="AM9" s="27" t="str">
        <f>$H$2</f>
        <v>J</v>
      </c>
      <c r="AN9" s="28" t="str">
        <f>$H$1</f>
        <v>A</v>
      </c>
      <c r="AO9" s="25" t="str">
        <f>$H$2</f>
        <v>J</v>
      </c>
      <c r="AP9" s="26" t="str">
        <f>$H$1</f>
        <v>A</v>
      </c>
      <c r="AQ9" s="27" t="str">
        <f>$H$2</f>
        <v>J</v>
      </c>
      <c r="AR9" s="28" t="str">
        <f>$H$1</f>
        <v>A</v>
      </c>
      <c r="AS9" s="25" t="str">
        <f>$H$2</f>
        <v>J</v>
      </c>
      <c r="AT9" s="26" t="str">
        <f>$H$1</f>
        <v>A</v>
      </c>
      <c r="AU9" s="27" t="str">
        <f>$H$2</f>
        <v>J</v>
      </c>
      <c r="AV9" s="28" t="str">
        <f>$H$1</f>
        <v>A</v>
      </c>
      <c r="AW9" s="25" t="str">
        <f>$H$2</f>
        <v>J</v>
      </c>
      <c r="AX9" s="26" t="str">
        <f>$H$1</f>
        <v>A</v>
      </c>
      <c r="AY9" s="27" t="str">
        <f>$H$2</f>
        <v>J</v>
      </c>
      <c r="AZ9" s="28" t="str">
        <f>$H$1</f>
        <v>A</v>
      </c>
      <c r="BA9" s="25" t="str">
        <f>$H$2</f>
        <v>J</v>
      </c>
      <c r="BB9" s="26" t="str">
        <f>$H$1</f>
        <v>A</v>
      </c>
      <c r="BC9" s="27" t="str">
        <f>$H$2</f>
        <v>J</v>
      </c>
      <c r="BD9" s="28" t="str">
        <f>$H$1</f>
        <v>A</v>
      </c>
      <c r="BE9" s="25" t="str">
        <f>$H$2</f>
        <v>J</v>
      </c>
      <c r="BF9" s="26" t="str">
        <f>$H$1</f>
        <v>A</v>
      </c>
      <c r="BG9" s="27" t="str">
        <f>$H$2</f>
        <v>J</v>
      </c>
      <c r="BH9" s="28" t="str">
        <f>$H$1</f>
        <v>A</v>
      </c>
      <c r="BI9" s="25" t="str">
        <f>$H$2</f>
        <v>J</v>
      </c>
      <c r="BJ9" s="26" t="str">
        <f>$H$1</f>
        <v>A</v>
      </c>
      <c r="BK9" s="27" t="str">
        <f>$H$2</f>
        <v>J</v>
      </c>
      <c r="BL9" s="28" t="str">
        <f>$H$1</f>
        <v>A</v>
      </c>
      <c r="BM9" s="24" t="str">
        <f>$H$2</f>
        <v>J</v>
      </c>
      <c r="BN9" s="29" t="s">
        <v>2</v>
      </c>
      <c r="BO9" s="29" t="s">
        <v>6</v>
      </c>
      <c r="BP9" s="29" t="s">
        <v>8</v>
      </c>
    </row>
    <row r="10" spans="2:69">
      <c r="B10" s="6" t="s">
        <v>16</v>
      </c>
      <c r="C10" s="6" t="s">
        <v>17</v>
      </c>
      <c r="D10" s="10"/>
      <c r="E10" s="15"/>
      <c r="F10" s="9"/>
      <c r="G10" s="9"/>
      <c r="H10" s="15"/>
      <c r="I10" s="15"/>
      <c r="J10" s="9"/>
      <c r="K10" s="9"/>
      <c r="L10" s="15"/>
      <c r="M10" s="15"/>
      <c r="N10" s="9"/>
      <c r="O10" s="9"/>
      <c r="P10" s="15"/>
      <c r="Q10" s="15"/>
      <c r="R10" s="9"/>
      <c r="S10" s="9"/>
      <c r="T10" s="15"/>
      <c r="U10" s="15"/>
      <c r="V10" s="9"/>
      <c r="W10" s="9"/>
      <c r="X10" s="15"/>
      <c r="Y10" s="15"/>
      <c r="Z10" s="9"/>
      <c r="AA10" s="9"/>
      <c r="AB10" s="15"/>
      <c r="AC10" s="15"/>
      <c r="AD10" s="9"/>
      <c r="AE10" s="9"/>
      <c r="AF10" s="15"/>
      <c r="AG10" s="15"/>
      <c r="AH10" s="9"/>
      <c r="AI10" s="9"/>
      <c r="AJ10" s="15"/>
      <c r="AK10" s="15"/>
      <c r="AL10" s="9"/>
      <c r="AM10" s="9"/>
      <c r="AN10" s="15">
        <v>7</v>
      </c>
      <c r="AO10" s="15"/>
      <c r="AP10" s="9">
        <v>5</v>
      </c>
      <c r="AQ10" s="9">
        <v>1</v>
      </c>
      <c r="AR10" s="15"/>
      <c r="AS10" s="15"/>
      <c r="AT10" s="9"/>
      <c r="AU10" s="9"/>
      <c r="AV10" s="15"/>
      <c r="AW10" s="15"/>
      <c r="AX10" s="9">
        <v>8</v>
      </c>
      <c r="AY10" s="9"/>
      <c r="AZ10" s="15"/>
      <c r="BA10" s="15"/>
      <c r="BB10" s="15"/>
      <c r="BC10" s="9"/>
      <c r="BD10" s="15"/>
      <c r="BE10" s="15"/>
      <c r="BF10" s="15"/>
      <c r="BG10" s="9"/>
      <c r="BH10" s="15"/>
      <c r="BI10" s="15"/>
      <c r="BJ10" s="9"/>
      <c r="BK10" s="9"/>
      <c r="BL10" s="15"/>
      <c r="BM10" s="10"/>
      <c r="BN10">
        <f>SUMIFS($D10:$BM10,$D$9:$BM$9,$H$1)</f>
        <v>20</v>
      </c>
      <c r="BO10">
        <f>SUMIFS($D10:$BM10,$D$9:$BM$9,$H$2)</f>
        <v>1</v>
      </c>
      <c r="BP10">
        <f>BN10-BO10</f>
        <v>19</v>
      </c>
    </row>
    <row r="11" spans="2:69">
      <c r="B11" s="6" t="s">
        <v>18</v>
      </c>
      <c r="C11" s="6" t="s">
        <v>19</v>
      </c>
      <c r="D11" s="10">
        <v>8</v>
      </c>
      <c r="E11" s="15">
        <v>8</v>
      </c>
      <c r="F11" s="9">
        <v>7</v>
      </c>
      <c r="G11" s="9">
        <v>1</v>
      </c>
      <c r="H11" s="15">
        <v>10</v>
      </c>
      <c r="I11" s="15"/>
      <c r="J11" s="15"/>
      <c r="K11" s="9"/>
      <c r="L11" s="15"/>
      <c r="M11" s="15"/>
      <c r="N11" s="9"/>
      <c r="O11" s="9"/>
      <c r="P11" s="15"/>
      <c r="Q11" s="15"/>
      <c r="R11" s="15"/>
      <c r="S11" s="9"/>
      <c r="T11" s="15"/>
      <c r="U11" s="15"/>
      <c r="V11" s="9"/>
      <c r="W11" s="9"/>
      <c r="X11" s="15"/>
      <c r="Y11" s="15"/>
      <c r="Z11" s="9"/>
      <c r="AA11" s="9"/>
      <c r="AB11" s="15"/>
      <c r="AC11" s="15"/>
      <c r="AD11" s="9"/>
      <c r="AE11" s="9"/>
      <c r="AF11" s="15"/>
      <c r="AG11" s="15"/>
      <c r="AH11" s="9"/>
      <c r="AI11" s="9"/>
      <c r="AJ11" s="15"/>
      <c r="AK11" s="15"/>
      <c r="AL11" s="9"/>
      <c r="AM11" s="9"/>
      <c r="AN11" s="15"/>
      <c r="AO11" s="15"/>
      <c r="AP11" s="9"/>
      <c r="AQ11" s="9"/>
      <c r="AR11" s="15"/>
      <c r="AS11" s="15"/>
      <c r="AT11" s="9"/>
      <c r="AU11" s="9"/>
      <c r="AV11" s="15"/>
      <c r="AW11" s="15"/>
      <c r="AX11" s="9"/>
      <c r="AY11" s="9"/>
      <c r="AZ11" s="15"/>
      <c r="BA11" s="15"/>
      <c r="BB11" s="9"/>
      <c r="BC11" s="9"/>
      <c r="BD11" s="15"/>
      <c r="BE11" s="15"/>
      <c r="BF11" s="9"/>
      <c r="BG11" s="9"/>
      <c r="BH11" s="15"/>
      <c r="BI11" s="15"/>
      <c r="BJ11" s="9"/>
      <c r="BK11" s="9"/>
      <c r="BL11" s="15"/>
      <c r="BM11" s="10"/>
      <c r="BN11">
        <f>SUMIFS($D11:$BM11,$D$9:$BM$9,$H$1)</f>
        <v>25</v>
      </c>
      <c r="BO11">
        <f>SUMIFS($D11:$BM11,$D$9:$BM$9,$H$2)</f>
        <v>9</v>
      </c>
      <c r="BP11">
        <f>BN11-BO11</f>
        <v>16</v>
      </c>
    </row>
    <row r="12" spans="2:69">
      <c r="B12" s="6" t="s">
        <v>20</v>
      </c>
      <c r="C12" s="6" t="s">
        <v>21</v>
      </c>
      <c r="D12" s="10">
        <v>8</v>
      </c>
      <c r="E12" s="15">
        <v>2</v>
      </c>
      <c r="F12" s="9"/>
      <c r="G12" s="9"/>
      <c r="H12" s="15"/>
      <c r="I12" s="15">
        <v>6</v>
      </c>
      <c r="J12" s="9">
        <v>3</v>
      </c>
      <c r="K12" s="9"/>
      <c r="L12" s="15"/>
      <c r="M12" s="15"/>
      <c r="N12" s="9"/>
      <c r="O12" s="9"/>
      <c r="P12" s="15"/>
      <c r="Q12" s="15"/>
      <c r="R12" s="9"/>
      <c r="S12" s="9"/>
      <c r="T12" s="15">
        <v>7</v>
      </c>
      <c r="U12" s="15">
        <v>1</v>
      </c>
      <c r="V12" s="9"/>
      <c r="W12" s="9"/>
      <c r="X12" s="15">
        <v>8</v>
      </c>
      <c r="Y12" s="15">
        <v>8</v>
      </c>
      <c r="Z12" s="9"/>
      <c r="AA12" s="9"/>
      <c r="AB12" s="15"/>
      <c r="AC12" s="15"/>
      <c r="AD12" s="9"/>
      <c r="AE12" s="9"/>
      <c r="AF12" s="15"/>
      <c r="AG12" s="15"/>
      <c r="AH12" s="9"/>
      <c r="AI12" s="9"/>
      <c r="AJ12" s="15"/>
      <c r="AK12" s="15"/>
      <c r="AL12" s="9"/>
      <c r="AM12" s="9"/>
      <c r="AN12" s="15"/>
      <c r="AO12" s="15"/>
      <c r="AP12" s="9"/>
      <c r="AQ12" s="9"/>
      <c r="AR12" s="15"/>
      <c r="AS12" s="15"/>
      <c r="AT12" s="9"/>
      <c r="AU12" s="9"/>
      <c r="AV12" s="15"/>
      <c r="AW12" s="15"/>
      <c r="AX12" s="9"/>
      <c r="AY12" s="9"/>
      <c r="AZ12" s="15"/>
      <c r="BA12" s="15"/>
      <c r="BB12" s="9"/>
      <c r="BC12" s="9"/>
      <c r="BD12" s="15"/>
      <c r="BE12" s="15"/>
      <c r="BF12" s="9"/>
      <c r="BG12" s="9"/>
      <c r="BH12" s="15"/>
      <c r="BI12" s="15"/>
      <c r="BJ12" s="9"/>
      <c r="BK12" s="9"/>
      <c r="BL12" s="15"/>
      <c r="BM12" s="10"/>
      <c r="BN12">
        <f>SUMIFS($D12:$BM12,$D$9:$BM$9,$H$1)</f>
        <v>26</v>
      </c>
      <c r="BO12">
        <f>SUMIFS($D12:$BM12,$D$9:$BM$9,$H$2)</f>
        <v>17</v>
      </c>
      <c r="BP12">
        <f>BN12-BO12</f>
        <v>9</v>
      </c>
    </row>
    <row r="13" spans="2:69">
      <c r="B13" s="6" t="s">
        <v>22</v>
      </c>
      <c r="C13" s="6" t="s">
        <v>23</v>
      </c>
      <c r="D13" s="10"/>
      <c r="E13" s="10"/>
      <c r="H13" s="10"/>
      <c r="I13" s="10"/>
      <c r="L13" s="10"/>
      <c r="M13" s="10"/>
      <c r="P13" s="10"/>
      <c r="Q13" s="10"/>
      <c r="T13" s="10"/>
      <c r="U13" s="10"/>
      <c r="X13" s="10"/>
      <c r="Y13" s="10"/>
      <c r="AB13" s="10"/>
      <c r="AC13" s="10"/>
      <c r="AF13" s="10"/>
      <c r="AG13" s="10"/>
      <c r="AJ13" s="10"/>
      <c r="AK13" s="10"/>
      <c r="AN13" s="10"/>
      <c r="AO13" s="10"/>
      <c r="AR13" s="10"/>
      <c r="AS13" s="10"/>
      <c r="AV13" s="10"/>
      <c r="AW13" s="10"/>
      <c r="AZ13" s="10"/>
      <c r="BA13" s="10"/>
      <c r="BD13" s="10"/>
      <c r="BE13" s="10"/>
      <c r="BH13" s="10"/>
      <c r="BI13" s="10"/>
      <c r="BL13" s="10"/>
      <c r="BM13" s="10"/>
      <c r="BN13">
        <f>SUMIFS($D13:$BM13,$D$9:$BM$9,$H$1)</f>
        <v>0</v>
      </c>
      <c r="BO13">
        <f>SUMIFS($D13:$BM13,$D$9:$BM$9,$H$2)</f>
        <v>0</v>
      </c>
      <c r="BP13">
        <f>BN13-BO13</f>
        <v>0</v>
      </c>
    </row>
    <row r="14" spans="2:69">
      <c r="B14" s="6" t="s">
        <v>24</v>
      </c>
      <c r="C14" s="6" t="s">
        <v>25</v>
      </c>
      <c r="D14" s="15"/>
      <c r="E14" s="15"/>
      <c r="F14" s="9"/>
      <c r="G14" s="9"/>
      <c r="H14" s="15"/>
      <c r="I14" s="15"/>
      <c r="J14" s="9"/>
      <c r="K14" s="9"/>
      <c r="L14" s="15"/>
      <c r="M14" s="15"/>
      <c r="N14" s="9"/>
      <c r="O14" s="9"/>
      <c r="P14" s="15"/>
      <c r="Q14" s="15"/>
      <c r="R14" s="9"/>
      <c r="S14" s="9"/>
      <c r="T14" s="15"/>
      <c r="U14" s="15"/>
      <c r="V14" s="9"/>
      <c r="W14" s="9"/>
      <c r="X14" s="15"/>
      <c r="Y14" s="15"/>
      <c r="Z14" s="9"/>
      <c r="AA14" s="9"/>
      <c r="AB14" s="15"/>
      <c r="AC14" s="15"/>
      <c r="AD14" s="9"/>
      <c r="AE14" s="9"/>
      <c r="AF14" s="15"/>
      <c r="AG14" s="15"/>
      <c r="AH14" s="9"/>
      <c r="AI14" s="9"/>
      <c r="AJ14" s="15"/>
      <c r="AK14" s="15"/>
      <c r="AL14" s="9"/>
      <c r="AM14" s="9"/>
      <c r="AN14" s="15"/>
      <c r="AO14" s="15"/>
      <c r="AP14" s="9"/>
      <c r="AQ14" s="9"/>
      <c r="AR14" s="15"/>
      <c r="AS14" s="15"/>
      <c r="AT14" s="9"/>
      <c r="AU14" s="9"/>
      <c r="AV14" s="15"/>
      <c r="AW14" s="15"/>
      <c r="AX14" s="9"/>
      <c r="AY14" s="9"/>
      <c r="AZ14" s="15"/>
      <c r="BA14" s="15"/>
      <c r="BB14" s="9"/>
      <c r="BC14" s="9"/>
      <c r="BD14" s="15"/>
      <c r="BE14" s="15"/>
      <c r="BF14" s="9"/>
      <c r="BG14" s="9"/>
      <c r="BH14" s="15"/>
      <c r="BI14" s="15"/>
      <c r="BJ14" s="9"/>
      <c r="BK14" s="9"/>
      <c r="BL14" s="15"/>
      <c r="BM14" s="15"/>
      <c r="BN14">
        <f>SUMIFS($D14:$BM14,$D$9:$BM$9,$H$1)</f>
        <v>0</v>
      </c>
      <c r="BO14">
        <f>SUMIFS($D14:$BM14,$D$9:$BM$9,$H$2)</f>
        <v>0</v>
      </c>
      <c r="BP14">
        <f>BN14-BO14</f>
        <v>0</v>
      </c>
    </row>
    <row r="15" spans="2:69">
      <c r="B15" s="6" t="s">
        <v>26</v>
      </c>
      <c r="C15" s="6" t="s">
        <v>27</v>
      </c>
      <c r="D15" s="10"/>
      <c r="E15" s="15"/>
      <c r="F15" s="9"/>
      <c r="G15" s="9"/>
      <c r="H15" s="15"/>
      <c r="I15" s="15"/>
      <c r="J15" s="9"/>
      <c r="K15" s="9"/>
      <c r="L15" s="15"/>
      <c r="M15" s="15"/>
      <c r="N15" s="9"/>
      <c r="O15" s="9"/>
      <c r="P15" s="15"/>
      <c r="Q15" s="15"/>
      <c r="R15" s="9"/>
      <c r="S15" s="9"/>
      <c r="T15" s="15"/>
      <c r="U15" s="15"/>
      <c r="V15" s="9"/>
      <c r="W15" s="9"/>
      <c r="X15" s="15"/>
      <c r="Y15" s="15"/>
      <c r="Z15" s="9"/>
      <c r="AA15" s="9"/>
      <c r="AB15" s="15"/>
      <c r="AC15" s="15"/>
      <c r="AD15" s="9"/>
      <c r="AE15" s="9"/>
      <c r="AF15" s="15"/>
      <c r="AG15" s="15"/>
      <c r="AH15" s="9"/>
      <c r="AI15" s="9"/>
      <c r="AJ15" s="15"/>
      <c r="AK15" s="15"/>
      <c r="AL15" s="9"/>
      <c r="AM15" s="9"/>
      <c r="AN15" s="15"/>
      <c r="AO15" s="15"/>
      <c r="AP15" s="9"/>
      <c r="AQ15" s="9"/>
      <c r="AR15" s="15"/>
      <c r="AS15" s="15"/>
      <c r="AT15" s="9"/>
      <c r="AU15" s="9"/>
      <c r="AV15" s="15"/>
      <c r="AW15" s="15"/>
      <c r="AX15" s="9"/>
      <c r="AY15" s="9"/>
      <c r="AZ15" s="15"/>
      <c r="BA15" s="15"/>
      <c r="BB15" s="9"/>
      <c r="BC15" s="9"/>
      <c r="BD15" s="15"/>
      <c r="BE15" s="15"/>
      <c r="BF15" s="9"/>
      <c r="BG15" s="9"/>
      <c r="BH15" s="15"/>
      <c r="BI15" s="15"/>
      <c r="BJ15" s="9"/>
      <c r="BK15" s="9"/>
      <c r="BL15" s="15"/>
      <c r="BM15" s="10"/>
      <c r="BN15">
        <f>SUMIFS($D15:$BM15,$D$9:$BM$9,$H$1)</f>
        <v>0</v>
      </c>
      <c r="BO15">
        <f>SUMIFS($D15:$BM15,$D$9:$BM$9,$H$2)</f>
        <v>0</v>
      </c>
      <c r="BP15">
        <f>BN15-BO15</f>
        <v>0</v>
      </c>
    </row>
    <row r="16" spans="2:69">
      <c r="B16" s="6" t="s">
        <v>28</v>
      </c>
      <c r="C16" s="6" t="s">
        <v>27</v>
      </c>
      <c r="D16" s="10"/>
      <c r="E16" s="15"/>
      <c r="F16" s="9"/>
      <c r="G16" s="9"/>
      <c r="H16" s="15"/>
      <c r="I16" s="15"/>
      <c r="J16" s="9"/>
      <c r="K16" s="9"/>
      <c r="L16" s="15"/>
      <c r="M16" s="15"/>
      <c r="N16" s="9"/>
      <c r="O16" s="9"/>
      <c r="P16" s="15"/>
      <c r="Q16" s="15"/>
      <c r="R16" s="9"/>
      <c r="S16" s="9"/>
      <c r="T16" s="15"/>
      <c r="U16" s="15"/>
      <c r="V16" s="9"/>
      <c r="W16" s="9"/>
      <c r="X16" s="15"/>
      <c r="Y16" s="15"/>
      <c r="Z16" s="9"/>
      <c r="AA16" s="9"/>
      <c r="AB16" s="15"/>
      <c r="AC16" s="15"/>
      <c r="AD16" s="9"/>
      <c r="AE16" s="9"/>
      <c r="AF16" s="15"/>
      <c r="AG16" s="15"/>
      <c r="AH16" s="9"/>
      <c r="AI16" s="9"/>
      <c r="AJ16" s="15"/>
      <c r="AK16" s="15"/>
      <c r="AL16" s="9"/>
      <c r="AM16" s="9"/>
      <c r="AN16" s="15"/>
      <c r="AO16" s="15"/>
      <c r="AP16" s="9"/>
      <c r="AQ16" s="9"/>
      <c r="AR16" s="15"/>
      <c r="AS16" s="15"/>
      <c r="AT16" s="9"/>
      <c r="AU16" s="9"/>
      <c r="AV16" s="15"/>
      <c r="AW16" s="15"/>
      <c r="AX16" s="9"/>
      <c r="AY16" s="9"/>
      <c r="AZ16" s="15"/>
      <c r="BA16" s="15"/>
      <c r="BB16" s="9"/>
      <c r="BC16" s="9"/>
      <c r="BD16" s="15"/>
      <c r="BE16" s="15"/>
      <c r="BF16" s="9"/>
      <c r="BG16" s="9"/>
      <c r="BH16" s="15"/>
      <c r="BI16" s="15"/>
      <c r="BJ16" s="9"/>
      <c r="BK16" s="9"/>
      <c r="BL16" s="15"/>
      <c r="BM16" s="10"/>
      <c r="BN16">
        <f>SUMIFS($D16:$BM16,$D$9:$BM$9,$H$1)</f>
        <v>0</v>
      </c>
      <c r="BO16">
        <f>SUMIFS($D16:$BM16,$D$9:$BM$9,$H$2)</f>
        <v>0</v>
      </c>
      <c r="BP16">
        <f>BN16-BO16</f>
        <v>0</v>
      </c>
    </row>
    <row r="17" spans="2:68">
      <c r="B17" s="6" t="s">
        <v>29</v>
      </c>
      <c r="C17" s="6" t="s">
        <v>30</v>
      </c>
      <c r="D17" s="10"/>
      <c r="E17" s="10"/>
      <c r="H17" s="10"/>
      <c r="I17" s="10"/>
      <c r="L17" s="10"/>
      <c r="M17" s="10"/>
      <c r="P17" s="10"/>
      <c r="Q17" s="10"/>
      <c r="T17" s="10"/>
      <c r="U17" s="10"/>
      <c r="X17" s="10"/>
      <c r="Y17" s="10"/>
      <c r="AB17" s="10"/>
      <c r="AC17" s="10"/>
      <c r="AF17" s="10"/>
      <c r="AG17" s="10"/>
      <c r="AJ17" s="10"/>
      <c r="AK17" s="10"/>
      <c r="AN17" s="10"/>
      <c r="AO17" s="10"/>
      <c r="AR17" s="10"/>
      <c r="AS17" s="10"/>
      <c r="AV17" s="10"/>
      <c r="AW17" s="10"/>
      <c r="AZ17" s="10"/>
      <c r="BA17" s="10"/>
      <c r="BD17" s="10"/>
      <c r="BE17" s="10"/>
      <c r="BH17" s="10"/>
      <c r="BI17" s="10"/>
      <c r="BL17" s="10"/>
      <c r="BM17" s="10"/>
      <c r="BN17">
        <f>SUMIFS($D17:$BM17,$D$9:$BM$9,$H$1)</f>
        <v>0</v>
      </c>
      <c r="BO17">
        <f>SUMIFS($D17:$BM17,$D$9:$BM$9,$H$2)</f>
        <v>0</v>
      </c>
      <c r="BP17">
        <f>BN17-BO17</f>
        <v>0</v>
      </c>
    </row>
    <row r="18" spans="2:68">
      <c r="B18" s="6" t="s">
        <v>31</v>
      </c>
      <c r="C18" s="6" t="s">
        <v>32</v>
      </c>
      <c r="D18" s="10"/>
      <c r="E18" s="10"/>
      <c r="H18" s="10"/>
      <c r="I18" s="10"/>
      <c r="L18" s="10"/>
      <c r="M18" s="10"/>
      <c r="P18" s="10"/>
      <c r="Q18" s="10"/>
      <c r="T18" s="10"/>
      <c r="U18" s="10"/>
      <c r="X18" s="10"/>
      <c r="Y18" s="10"/>
      <c r="AB18" s="10"/>
      <c r="AC18" s="10"/>
      <c r="AF18" s="10"/>
      <c r="AG18" s="10"/>
      <c r="AJ18" s="10"/>
      <c r="AK18" s="10"/>
      <c r="AN18" s="10"/>
      <c r="AO18" s="10"/>
      <c r="AR18" s="10"/>
      <c r="AS18" s="10"/>
      <c r="AV18" s="10"/>
      <c r="AW18" s="10"/>
      <c r="AZ18" s="10"/>
      <c r="BA18" s="10"/>
      <c r="BD18" s="10"/>
      <c r="BE18" s="10"/>
      <c r="BH18" s="10"/>
      <c r="BI18" s="10"/>
      <c r="BL18" s="10"/>
      <c r="BM18" s="10"/>
      <c r="BN18">
        <f>SUMIFS($D18:$BM18,$D$9:$BM$9,$H$1)</f>
        <v>0</v>
      </c>
      <c r="BO18">
        <f>SUMIFS($D18:$BM18,$D$9:$BM$9,$H$2)</f>
        <v>0</v>
      </c>
      <c r="BP18">
        <f>BN18-BO18</f>
        <v>0</v>
      </c>
    </row>
    <row r="19" spans="2:68">
      <c r="B19" s="6" t="s">
        <v>33</v>
      </c>
      <c r="C19" s="6" t="s">
        <v>34</v>
      </c>
      <c r="D19" s="10"/>
      <c r="E19" s="10"/>
      <c r="H19" s="10"/>
      <c r="I19" s="10"/>
      <c r="L19" s="10"/>
      <c r="M19" s="10"/>
      <c r="P19" s="10"/>
      <c r="Q19" s="10"/>
      <c r="T19" s="10"/>
      <c r="U19" s="10"/>
      <c r="X19" s="10"/>
      <c r="Y19" s="10"/>
      <c r="AB19" s="10"/>
      <c r="AC19" s="10"/>
      <c r="AF19" s="10"/>
      <c r="AG19" s="10"/>
      <c r="AJ19" s="10"/>
      <c r="AK19" s="10"/>
      <c r="AN19" s="10"/>
      <c r="AO19" s="10"/>
      <c r="AR19" s="10"/>
      <c r="AS19" s="10"/>
      <c r="AV19" s="10"/>
      <c r="AW19" s="10"/>
      <c r="AZ19" s="10"/>
      <c r="BA19" s="10"/>
      <c r="BD19" s="10"/>
      <c r="BE19" s="10"/>
      <c r="BH19" s="10"/>
      <c r="BI19" s="10"/>
      <c r="BL19" s="10"/>
      <c r="BM19" s="10"/>
      <c r="BN19">
        <f>SUMIFS($D19:$BM19,$D$9:$BM$9,$H$1)</f>
        <v>0</v>
      </c>
      <c r="BO19">
        <f>SUMIFS($D19:$BM19,$D$9:$BM$9,$H$2)</f>
        <v>0</v>
      </c>
      <c r="BP19">
        <f>BN19-BO19</f>
        <v>0</v>
      </c>
    </row>
    <row r="20" spans="2:68">
      <c r="B20" s="6" t="s">
        <v>35</v>
      </c>
      <c r="C20" s="6" t="s">
        <v>36</v>
      </c>
      <c r="D20" s="10"/>
      <c r="E20" s="15"/>
      <c r="F20" s="9"/>
      <c r="G20" s="9"/>
      <c r="H20" s="15"/>
      <c r="I20" s="15"/>
      <c r="J20" s="9"/>
      <c r="K20" s="9"/>
      <c r="L20" s="15"/>
      <c r="M20" s="15"/>
      <c r="N20" s="9"/>
      <c r="O20" s="9"/>
      <c r="P20" s="15"/>
      <c r="Q20" s="15"/>
      <c r="R20" s="9"/>
      <c r="S20" s="9"/>
      <c r="T20" s="15"/>
      <c r="U20" s="15"/>
      <c r="V20" s="9"/>
      <c r="W20" s="9"/>
      <c r="X20" s="15"/>
      <c r="Y20" s="15"/>
      <c r="Z20" s="9"/>
      <c r="AA20" s="9"/>
      <c r="AB20" s="15"/>
      <c r="AC20" s="15"/>
      <c r="AD20" s="9"/>
      <c r="AE20" s="9"/>
      <c r="AF20" s="15"/>
      <c r="AG20" s="15"/>
      <c r="AH20" s="9"/>
      <c r="AI20" s="9"/>
      <c r="AJ20" s="15"/>
      <c r="AK20" s="15"/>
      <c r="AL20" s="9"/>
      <c r="AM20" s="9"/>
      <c r="AN20" s="15"/>
      <c r="AO20" s="15"/>
      <c r="AP20" s="9"/>
      <c r="AQ20" s="9"/>
      <c r="AR20" s="15"/>
      <c r="AS20" s="15"/>
      <c r="AT20" s="9"/>
      <c r="AU20" s="9"/>
      <c r="AV20" s="15"/>
      <c r="AW20" s="15"/>
      <c r="AX20" s="9"/>
      <c r="AY20" s="9"/>
      <c r="AZ20" s="15"/>
      <c r="BA20" s="15"/>
      <c r="BB20" s="9"/>
      <c r="BC20" s="9"/>
      <c r="BD20" s="15"/>
      <c r="BE20" s="15"/>
      <c r="BF20" s="9"/>
      <c r="BG20" s="9"/>
      <c r="BH20" s="15"/>
      <c r="BI20" s="15"/>
      <c r="BJ20" s="9"/>
      <c r="BK20" s="9"/>
      <c r="BL20" s="15"/>
      <c r="BM20" s="10"/>
      <c r="BN20">
        <f>SUMIFS($D20:$BM20,$D$9:$BM$9,$H$1)</f>
        <v>0</v>
      </c>
      <c r="BO20">
        <f>SUMIFS($D20:$BM20,$D$9:$BM$9,$H$2)</f>
        <v>0</v>
      </c>
      <c r="BP20">
        <f>BN20-BO20</f>
        <v>0</v>
      </c>
    </row>
    <row r="21" spans="2:68">
      <c r="B21" s="6" t="s">
        <v>37</v>
      </c>
      <c r="C21" s="6" t="s">
        <v>38</v>
      </c>
      <c r="D21" s="10"/>
      <c r="E21" s="10"/>
      <c r="H21" s="10"/>
      <c r="I21" s="10"/>
      <c r="L21" s="10"/>
      <c r="M21" s="10"/>
      <c r="P21" s="10"/>
      <c r="Q21" s="10"/>
      <c r="T21" s="10"/>
      <c r="U21" s="10"/>
      <c r="X21" s="10"/>
      <c r="Y21" s="10"/>
      <c r="AB21" s="10"/>
      <c r="AC21" s="10"/>
      <c r="AF21" s="10"/>
      <c r="AG21" s="10"/>
      <c r="AJ21" s="10"/>
      <c r="AK21" s="10"/>
      <c r="AN21" s="10"/>
      <c r="AO21" s="10"/>
      <c r="AR21" s="10"/>
      <c r="AS21" s="10"/>
      <c r="AV21" s="10"/>
      <c r="AW21" s="10"/>
      <c r="AZ21" s="10"/>
      <c r="BA21" s="10"/>
      <c r="BD21" s="10"/>
      <c r="BE21" s="10"/>
      <c r="BH21" s="10"/>
      <c r="BI21" s="10"/>
      <c r="BL21" s="10"/>
      <c r="BM21" s="10"/>
      <c r="BN21">
        <f>SUMIFS($D21:$BM21,$D$9:$BM$9,$H$1)</f>
        <v>0</v>
      </c>
      <c r="BO21">
        <f>SUMIFS($D21:$BM21,$D$9:$BM$9,$H$2)</f>
        <v>0</v>
      </c>
      <c r="BP21">
        <f>BN21-BO21</f>
        <v>0</v>
      </c>
    </row>
    <row r="22" spans="2:68">
      <c r="B22" s="6" t="s">
        <v>39</v>
      </c>
      <c r="C22" s="6" t="s">
        <v>40</v>
      </c>
      <c r="D22" s="10"/>
      <c r="E22" s="10"/>
      <c r="H22" s="10"/>
      <c r="I22" s="10"/>
      <c r="L22" s="10"/>
      <c r="M22" s="10"/>
      <c r="P22" s="10"/>
      <c r="Q22" s="10"/>
      <c r="T22" s="10"/>
      <c r="U22" s="10"/>
      <c r="X22" s="10"/>
      <c r="Y22" s="10"/>
      <c r="AB22" s="10"/>
      <c r="AC22" s="10"/>
      <c r="AF22" s="10"/>
      <c r="AG22" s="10"/>
      <c r="AJ22" s="10"/>
      <c r="AK22" s="10"/>
      <c r="AN22" s="10"/>
      <c r="AO22" s="10"/>
      <c r="AR22" s="10"/>
      <c r="AS22" s="10"/>
      <c r="AV22" s="10"/>
      <c r="AW22" s="10"/>
      <c r="AZ22" s="10"/>
      <c r="BA22" s="10"/>
      <c r="BD22" s="10"/>
      <c r="BE22" s="10"/>
      <c r="BH22" s="10"/>
      <c r="BI22" s="10"/>
      <c r="BL22" s="10"/>
      <c r="BM22" s="10"/>
      <c r="BN22">
        <f>SUMIFS($D22:$BM22,$D$9:$BM$9,$H$1)</f>
        <v>0</v>
      </c>
      <c r="BO22">
        <f>SUMIFS($D22:$BM22,$D$9:$BM$9,$H$2)</f>
        <v>0</v>
      </c>
      <c r="BP22">
        <f>BN22-BO22</f>
        <v>0</v>
      </c>
    </row>
    <row r="23" spans="2:68">
      <c r="B23" s="6" t="s">
        <v>41</v>
      </c>
      <c r="C23" s="6" t="s">
        <v>42</v>
      </c>
      <c r="D23" s="10"/>
      <c r="E23" s="10"/>
      <c r="H23" s="10"/>
      <c r="I23" s="10"/>
      <c r="L23" s="10"/>
      <c r="M23" s="10"/>
      <c r="P23" s="10"/>
      <c r="Q23" s="10"/>
      <c r="T23" s="10"/>
      <c r="U23" s="10"/>
      <c r="X23" s="10"/>
      <c r="Y23" s="10"/>
      <c r="AB23" s="10"/>
      <c r="AC23" s="10"/>
      <c r="AF23" s="10"/>
      <c r="AG23" s="10"/>
      <c r="AJ23" s="10"/>
      <c r="AK23" s="10"/>
      <c r="AN23" s="10"/>
      <c r="AO23" s="10"/>
      <c r="AR23" s="10"/>
      <c r="AS23" s="10"/>
      <c r="AV23" s="10"/>
      <c r="AW23" s="10"/>
      <c r="AZ23" s="10"/>
      <c r="BA23" s="10"/>
      <c r="BD23" s="10"/>
      <c r="BE23" s="10"/>
      <c r="BH23" s="10"/>
      <c r="BI23" s="10"/>
      <c r="BL23" s="10"/>
      <c r="BM23" s="10"/>
      <c r="BN23">
        <f>SUMIFS($D23:$BM23,$D$9:$BM$9,$H$1)</f>
        <v>0</v>
      </c>
      <c r="BO23">
        <f>SUMIFS($D23:$BM23,$D$9:$BM$9,$H$2)</f>
        <v>0</v>
      </c>
      <c r="BP23">
        <f>BN23-BO23</f>
        <v>0</v>
      </c>
    </row>
    <row r="24" spans="2:68">
      <c r="B24" s="6" t="s">
        <v>43</v>
      </c>
      <c r="C24" s="6" t="s">
        <v>44</v>
      </c>
      <c r="D24" s="10"/>
      <c r="E24" s="10"/>
      <c r="H24" s="10"/>
      <c r="I24" s="10"/>
      <c r="L24" s="10"/>
      <c r="M24" s="10"/>
      <c r="P24" s="10"/>
      <c r="Q24" s="10"/>
      <c r="T24" s="10"/>
      <c r="U24" s="10"/>
      <c r="X24" s="10"/>
      <c r="Y24" s="10"/>
      <c r="AB24" s="10"/>
      <c r="AC24" s="10"/>
      <c r="AF24" s="10"/>
      <c r="AG24" s="10"/>
      <c r="AJ24" s="10"/>
      <c r="AK24" s="10"/>
      <c r="AN24" s="10"/>
      <c r="AO24" s="10"/>
      <c r="AR24" s="10"/>
      <c r="AS24" s="10"/>
      <c r="AV24" s="10"/>
      <c r="AW24" s="10"/>
      <c r="AZ24" s="10"/>
      <c r="BA24" s="10"/>
      <c r="BD24" s="10"/>
      <c r="BE24" s="10"/>
      <c r="BH24" s="10"/>
      <c r="BI24" s="10"/>
      <c r="BL24" s="10"/>
      <c r="BM24" s="10"/>
      <c r="BN24">
        <f>SUMIFS($D24:$BM24,$D$9:$BM$9,$H$1)</f>
        <v>0</v>
      </c>
      <c r="BO24">
        <f>SUMIFS($D24:$BM24,$D$9:$BM$9,$H$2)</f>
        <v>0</v>
      </c>
      <c r="BP24">
        <f>BN24-BO24</f>
        <v>0</v>
      </c>
    </row>
    <row r="25" spans="2:68">
      <c r="B25" s="6" t="s">
        <v>45</v>
      </c>
      <c r="C25" s="6" t="s">
        <v>46</v>
      </c>
      <c r="D25" s="10"/>
      <c r="E25" s="10"/>
      <c r="H25" s="10"/>
      <c r="I25" s="10"/>
      <c r="L25" s="10"/>
      <c r="M25" s="10"/>
      <c r="P25" s="10"/>
      <c r="Q25" s="10"/>
      <c r="T25" s="10"/>
      <c r="U25" s="10"/>
      <c r="X25" s="10"/>
      <c r="Y25" s="10"/>
      <c r="AB25" s="10"/>
      <c r="AC25" s="10"/>
      <c r="AF25" s="10"/>
      <c r="AG25" s="10"/>
      <c r="AJ25" s="10"/>
      <c r="AK25" s="10"/>
      <c r="AN25" s="10"/>
      <c r="AO25" s="10"/>
      <c r="AR25" s="10"/>
      <c r="AS25" s="10"/>
      <c r="AV25" s="10"/>
      <c r="AW25" s="10"/>
      <c r="AZ25" s="10"/>
      <c r="BA25" s="10"/>
      <c r="BD25" s="10"/>
      <c r="BE25" s="10"/>
      <c r="BH25" s="10"/>
      <c r="BI25" s="10"/>
      <c r="BL25" s="10"/>
      <c r="BM25" s="10"/>
      <c r="BN25">
        <f>SUMIFS($D25:$BM25,$D$9:$BM$9,$H$1)</f>
        <v>0</v>
      </c>
      <c r="BO25">
        <f>SUMIFS($D25:$BM25,$D$9:$BM$9,$H$2)</f>
        <v>0</v>
      </c>
      <c r="BP25">
        <f>BN25-BO25</f>
        <v>0</v>
      </c>
    </row>
    <row r="26" spans="2:68">
      <c r="B26" s="6" t="s">
        <v>47</v>
      </c>
      <c r="C26" s="6" t="s">
        <v>48</v>
      </c>
      <c r="D26" s="10"/>
      <c r="E26" s="10"/>
      <c r="H26" s="10"/>
      <c r="I26" s="10"/>
      <c r="L26" s="10"/>
      <c r="M26" s="10"/>
      <c r="P26" s="10"/>
      <c r="Q26" s="10"/>
      <c r="T26" s="10"/>
      <c r="U26" s="10"/>
      <c r="X26" s="10"/>
      <c r="Y26" s="10"/>
      <c r="AB26" s="10"/>
      <c r="AC26" s="10"/>
      <c r="AF26" s="10"/>
      <c r="AG26" s="10"/>
      <c r="AJ26" s="10"/>
      <c r="AK26" s="10"/>
      <c r="AN26" s="10"/>
      <c r="AO26" s="10"/>
      <c r="AR26" s="10"/>
      <c r="AS26" s="10"/>
      <c r="AV26" s="10"/>
      <c r="AW26" s="10"/>
      <c r="AZ26" s="10"/>
      <c r="BA26" s="10"/>
      <c r="BD26" s="10"/>
      <c r="BE26" s="10"/>
      <c r="BH26" s="10"/>
      <c r="BI26" s="10"/>
      <c r="BL26" s="10"/>
      <c r="BM26" s="10"/>
      <c r="BN26">
        <f>SUMIFS($D26:$BM26,$D$9:$BM$9,$H$1)</f>
        <v>0</v>
      </c>
      <c r="BO26">
        <f>SUMIFS($D26:$BM26,$D$9:$BM$9,$H$2)</f>
        <v>0</v>
      </c>
      <c r="BP26">
        <f>BN26-BO26</f>
        <v>0</v>
      </c>
    </row>
    <row r="27" spans="2:68">
      <c r="B27" s="6" t="s">
        <v>49</v>
      </c>
      <c r="C27" s="6" t="s">
        <v>50</v>
      </c>
      <c r="D27" s="10"/>
      <c r="E27" s="10"/>
      <c r="H27" s="10"/>
      <c r="I27" s="10"/>
      <c r="L27" s="10"/>
      <c r="M27" s="10"/>
      <c r="P27" s="10"/>
      <c r="Q27" s="10"/>
      <c r="T27" s="10"/>
      <c r="U27" s="10"/>
      <c r="X27" s="10"/>
      <c r="Y27" s="10"/>
      <c r="AB27" s="10"/>
      <c r="AC27" s="10"/>
      <c r="AF27" s="10"/>
      <c r="AG27" s="10"/>
      <c r="AJ27" s="10"/>
      <c r="AK27" s="10"/>
      <c r="AN27" s="10"/>
      <c r="AO27" s="10"/>
      <c r="AR27" s="10"/>
      <c r="AS27" s="10"/>
      <c r="AV27" s="10"/>
      <c r="AW27" s="10"/>
      <c r="AZ27" s="10"/>
      <c r="BA27" s="10"/>
      <c r="BD27" s="10"/>
      <c r="BE27" s="10"/>
      <c r="BH27" s="10"/>
      <c r="BI27" s="10"/>
      <c r="BL27" s="10"/>
      <c r="BM27" s="10"/>
      <c r="BN27">
        <f>SUMIFS($D27:$BM27,$D$9:$BM$9,$H$1)</f>
        <v>0</v>
      </c>
      <c r="BO27">
        <f>SUMIFS($D27:$BM27,$D$9:$BM$9,$H$2)</f>
        <v>0</v>
      </c>
      <c r="BP27">
        <f>BN27-BO27</f>
        <v>0</v>
      </c>
    </row>
    <row r="28" spans="2:68">
      <c r="B28" s="6" t="s">
        <v>51</v>
      </c>
      <c r="C28" s="6" t="s">
        <v>50</v>
      </c>
      <c r="D28" s="10"/>
      <c r="E28" s="10"/>
      <c r="H28" s="10"/>
      <c r="I28" s="10"/>
      <c r="L28" s="10"/>
      <c r="M28" s="10"/>
      <c r="P28" s="10"/>
      <c r="Q28" s="10"/>
      <c r="T28" s="10"/>
      <c r="U28" s="10"/>
      <c r="X28" s="10"/>
      <c r="Y28" s="10"/>
      <c r="AB28" s="10"/>
      <c r="AC28" s="10"/>
      <c r="AF28" s="10"/>
      <c r="AG28" s="10"/>
      <c r="AJ28" s="10"/>
      <c r="AK28" s="10"/>
      <c r="AN28" s="10"/>
      <c r="AO28" s="10"/>
      <c r="AR28" s="10"/>
      <c r="AS28" s="10"/>
      <c r="AV28" s="10"/>
      <c r="AW28" s="10"/>
      <c r="AZ28" s="10"/>
      <c r="BA28" s="10"/>
      <c r="BD28" s="10"/>
      <c r="BE28" s="10"/>
      <c r="BH28" s="10"/>
      <c r="BI28" s="10"/>
      <c r="BL28" s="10"/>
      <c r="BM28" s="10"/>
      <c r="BN28">
        <f>SUMIFS($D28:$BM28,$D$9:$BM$9,$H$1)</f>
        <v>0</v>
      </c>
      <c r="BO28">
        <f>SUMIFS($D28:$BM28,$D$9:$BM$9,$H$2)</f>
        <v>0</v>
      </c>
      <c r="BP28">
        <f>BN28-BO28</f>
        <v>0</v>
      </c>
    </row>
    <row r="29" spans="2:68">
      <c r="B29" s="6" t="s">
        <v>52</v>
      </c>
      <c r="C29" s="6" t="s">
        <v>50</v>
      </c>
      <c r="D29" s="10"/>
      <c r="E29" s="15"/>
      <c r="F29" s="9"/>
      <c r="G29" s="9"/>
      <c r="H29" s="15"/>
      <c r="I29" s="15"/>
      <c r="J29" s="9"/>
      <c r="K29" s="9"/>
      <c r="L29" s="15"/>
      <c r="M29" s="15"/>
      <c r="N29" s="9"/>
      <c r="O29" s="9"/>
      <c r="P29" s="15"/>
      <c r="Q29" s="15"/>
      <c r="R29" s="9"/>
      <c r="S29" s="9"/>
      <c r="T29" s="15"/>
      <c r="U29" s="15"/>
      <c r="V29" s="9"/>
      <c r="W29" s="9"/>
      <c r="X29" s="15"/>
      <c r="Y29" s="15"/>
      <c r="Z29" s="9"/>
      <c r="AA29" s="9"/>
      <c r="AB29" s="15"/>
      <c r="AC29" s="15"/>
      <c r="AD29" s="9"/>
      <c r="AE29" s="9"/>
      <c r="AF29" s="15"/>
      <c r="AG29" s="15"/>
      <c r="AH29" s="9"/>
      <c r="AI29" s="9"/>
      <c r="AJ29" s="15"/>
      <c r="AK29" s="15"/>
      <c r="AL29" s="9"/>
      <c r="AM29" s="9"/>
      <c r="AN29" s="15"/>
      <c r="AO29" s="15"/>
      <c r="AP29" s="9"/>
      <c r="AQ29" s="9"/>
      <c r="AR29" s="15"/>
      <c r="AS29" s="15"/>
      <c r="AT29" s="9"/>
      <c r="AU29" s="9"/>
      <c r="AV29" s="15"/>
      <c r="AW29" s="15"/>
      <c r="AX29" s="9"/>
      <c r="AY29" s="9"/>
      <c r="AZ29" s="15"/>
      <c r="BA29" s="15"/>
      <c r="BB29" s="9"/>
      <c r="BC29" s="9"/>
      <c r="BD29" s="15"/>
      <c r="BE29" s="15"/>
      <c r="BF29" s="9"/>
      <c r="BG29" s="9"/>
      <c r="BH29" s="15"/>
      <c r="BI29" s="15"/>
      <c r="BJ29" s="9"/>
      <c r="BK29" s="9"/>
      <c r="BL29" s="15"/>
      <c r="BM29" s="10"/>
      <c r="BN29">
        <f>SUMIFS($D29:$BM29,$D$9:$BM$9,$H$1)</f>
        <v>0</v>
      </c>
      <c r="BO29">
        <f>SUMIFS($D29:$BM29,$D$9:$BM$9,$H$2)</f>
        <v>0</v>
      </c>
      <c r="BP29">
        <f>BN29-BO29</f>
        <v>0</v>
      </c>
    </row>
    <row r="30" spans="2:68">
      <c r="B30" s="6" t="s">
        <v>53</v>
      </c>
      <c r="C30" s="6" t="s">
        <v>54</v>
      </c>
      <c r="D30" s="10"/>
      <c r="E30" s="10"/>
      <c r="H30" s="10"/>
      <c r="I30" s="10"/>
      <c r="L30" s="10"/>
      <c r="M30" s="10"/>
      <c r="P30" s="10"/>
      <c r="Q30" s="10"/>
      <c r="T30" s="10"/>
      <c r="U30" s="10"/>
      <c r="X30" s="10"/>
      <c r="Y30" s="10"/>
      <c r="AB30" s="10"/>
      <c r="AC30" s="10"/>
      <c r="AF30" s="10"/>
      <c r="AG30" s="10"/>
      <c r="AJ30" s="10"/>
      <c r="AK30" s="10"/>
      <c r="AN30" s="10"/>
      <c r="AO30" s="10"/>
      <c r="AR30" s="10"/>
      <c r="AS30" s="10"/>
      <c r="AV30" s="10"/>
      <c r="AW30" s="10"/>
      <c r="AZ30" s="10"/>
      <c r="BA30" s="10"/>
      <c r="BD30" s="10"/>
      <c r="BE30" s="10"/>
      <c r="BH30" s="10"/>
      <c r="BI30" s="10"/>
      <c r="BL30" s="10"/>
      <c r="BM30" s="10"/>
      <c r="BN30">
        <f>SUMIFS($D30:$BM30,$D$9:$BM$9,$H$1)</f>
        <v>0</v>
      </c>
      <c r="BO30">
        <f>SUMIFS($D30:$BM30,$D$9:$BM$9,$H$2)</f>
        <v>0</v>
      </c>
      <c r="BP30">
        <f>BN30-BO30</f>
        <v>0</v>
      </c>
    </row>
    <row r="31" spans="2:68">
      <c r="B31" s="6" t="s">
        <v>55</v>
      </c>
      <c r="C31" s="6" t="s">
        <v>56</v>
      </c>
      <c r="D31" s="10"/>
      <c r="E31" s="10"/>
      <c r="H31" s="10"/>
      <c r="I31" s="10"/>
      <c r="L31" s="10"/>
      <c r="M31" s="10"/>
      <c r="P31" s="10"/>
      <c r="Q31" s="10"/>
      <c r="T31" s="10"/>
      <c r="U31" s="10"/>
      <c r="X31" s="10"/>
      <c r="Y31" s="10"/>
      <c r="AB31" s="10"/>
      <c r="AC31" s="10"/>
      <c r="AF31" s="10"/>
      <c r="AG31" s="10"/>
      <c r="AJ31" s="10"/>
      <c r="AK31" s="10"/>
      <c r="AN31" s="10"/>
      <c r="AO31" s="10"/>
      <c r="AR31" s="10"/>
      <c r="AS31" s="10"/>
      <c r="AV31" s="10"/>
      <c r="AW31" s="10"/>
      <c r="AZ31" s="10"/>
      <c r="BA31" s="10"/>
      <c r="BD31" s="10"/>
      <c r="BE31" s="10"/>
      <c r="BH31" s="10"/>
      <c r="BI31" s="10"/>
      <c r="BL31" s="10"/>
      <c r="BM31" s="10"/>
      <c r="BN31">
        <f>SUMIFS($D31:$BM31,$D$9:$BM$9,$H$1)</f>
        <v>0</v>
      </c>
      <c r="BO31">
        <f>SUMIFS($D31:$BM31,$D$9:$BM$9,$H$2)</f>
        <v>0</v>
      </c>
      <c r="BP31">
        <f>BN31-BO31</f>
        <v>0</v>
      </c>
    </row>
    <row r="32" spans="2:68">
      <c r="B32" s="6" t="s">
        <v>57</v>
      </c>
      <c r="C32" s="6" t="s">
        <v>56</v>
      </c>
      <c r="D32" s="10"/>
      <c r="E32" s="10"/>
      <c r="H32" s="10"/>
      <c r="I32" s="10"/>
      <c r="L32" s="10"/>
      <c r="M32" s="10"/>
      <c r="P32" s="10"/>
      <c r="Q32" s="10"/>
      <c r="T32" s="10"/>
      <c r="U32" s="10"/>
      <c r="X32" s="10"/>
      <c r="Y32" s="10"/>
      <c r="AB32" s="10"/>
      <c r="AC32" s="10"/>
      <c r="AF32" s="10"/>
      <c r="AG32" s="10"/>
      <c r="AJ32" s="10"/>
      <c r="AK32" s="10"/>
      <c r="AN32" s="10"/>
      <c r="AO32" s="10"/>
      <c r="AR32" s="10"/>
      <c r="AS32" s="10"/>
      <c r="AV32" s="10"/>
      <c r="AW32" s="10"/>
      <c r="AZ32" s="10"/>
      <c r="BA32" s="10"/>
      <c r="BD32" s="10"/>
      <c r="BE32" s="10"/>
      <c r="BH32" s="10"/>
      <c r="BI32" s="10"/>
      <c r="BL32" s="10"/>
      <c r="BM32" s="10"/>
      <c r="BN32">
        <f>SUMIFS($D32:$BM32,$D$9:$BM$9,$H$1)</f>
        <v>0</v>
      </c>
      <c r="BO32">
        <f>SUMIFS($D32:$BM32,$D$9:$BM$9,$H$2)</f>
        <v>0</v>
      </c>
      <c r="BP32">
        <f>BN32-BO32</f>
        <v>0</v>
      </c>
    </row>
    <row r="33" spans="2:68">
      <c r="B33" s="6" t="s">
        <v>58</v>
      </c>
      <c r="C33" s="6" t="s">
        <v>56</v>
      </c>
      <c r="D33" s="10"/>
      <c r="E33" s="10"/>
      <c r="H33" s="10"/>
      <c r="I33" s="10"/>
      <c r="L33" s="10"/>
      <c r="M33" s="10"/>
      <c r="P33" s="10"/>
      <c r="Q33" s="10"/>
      <c r="T33" s="10"/>
      <c r="U33" s="10"/>
      <c r="X33" s="10"/>
      <c r="Y33" s="10"/>
      <c r="AB33" s="10"/>
      <c r="AC33" s="10"/>
      <c r="AF33" s="10"/>
      <c r="AG33" s="10"/>
      <c r="AJ33" s="10"/>
      <c r="AK33" s="10"/>
      <c r="AN33" s="10"/>
      <c r="AO33" s="10"/>
      <c r="AR33" s="10"/>
      <c r="AS33" s="10"/>
      <c r="AV33" s="10"/>
      <c r="AW33" s="10"/>
      <c r="AZ33" s="10"/>
      <c r="BA33" s="10"/>
      <c r="BD33" s="10"/>
      <c r="BE33" s="10"/>
      <c r="BH33" s="10"/>
      <c r="BI33" s="10"/>
      <c r="BL33" s="10"/>
      <c r="BM33" s="10"/>
      <c r="BN33">
        <f>SUMIFS($D33:$BM33,$D$9:$BM$9,$H$1)</f>
        <v>0</v>
      </c>
      <c r="BO33">
        <f>SUMIFS($D33:$BM33,$D$9:$BM$9,$H$2)</f>
        <v>0</v>
      </c>
      <c r="BP33">
        <f>BN33-BO33</f>
        <v>0</v>
      </c>
    </row>
    <row r="34" spans="2:68">
      <c r="B34" s="6" t="s">
        <v>59</v>
      </c>
      <c r="C34" s="6" t="s">
        <v>56</v>
      </c>
      <c r="D34" s="10"/>
      <c r="E34" s="10"/>
      <c r="H34" s="10"/>
      <c r="I34" s="10"/>
      <c r="L34" s="10"/>
      <c r="M34" s="10"/>
      <c r="P34" s="10"/>
      <c r="Q34" s="10"/>
      <c r="T34" s="10"/>
      <c r="U34" s="10"/>
      <c r="X34" s="10"/>
      <c r="Y34" s="10"/>
      <c r="AB34" s="10"/>
      <c r="AC34" s="10"/>
      <c r="AF34" s="10"/>
      <c r="AG34" s="10"/>
      <c r="AJ34" s="10"/>
      <c r="AK34" s="10"/>
      <c r="AN34" s="10"/>
      <c r="AO34" s="10"/>
      <c r="AR34" s="10"/>
      <c r="AS34" s="10"/>
      <c r="AV34" s="10"/>
      <c r="AW34" s="10"/>
      <c r="AZ34" s="10"/>
      <c r="BA34" s="10"/>
      <c r="BD34" s="10"/>
      <c r="BE34" s="10"/>
      <c r="BH34" s="10"/>
      <c r="BI34" s="10"/>
      <c r="BL34" s="10"/>
      <c r="BM34" s="10"/>
      <c r="BN34">
        <f>SUMIFS($D34:$BM34,$D$9:$BM$9,$H$1)</f>
        <v>0</v>
      </c>
      <c r="BO34">
        <f>SUMIFS($D34:$BM34,$D$9:$BM$9,$H$2)</f>
        <v>0</v>
      </c>
      <c r="BP34">
        <f>BN34-BO34</f>
        <v>0</v>
      </c>
    </row>
    <row r="35" spans="2:68">
      <c r="B35" s="6" t="s">
        <v>60</v>
      </c>
      <c r="C35" s="6" t="s">
        <v>61</v>
      </c>
      <c r="D35" s="10"/>
      <c r="E35" s="10"/>
      <c r="H35" s="10"/>
      <c r="I35" s="10"/>
      <c r="L35" s="10"/>
      <c r="M35" s="10"/>
      <c r="P35" s="10"/>
      <c r="Q35" s="10"/>
      <c r="T35" s="10"/>
      <c r="U35" s="10"/>
      <c r="X35" s="10"/>
      <c r="Y35" s="10"/>
      <c r="AB35" s="10"/>
      <c r="AC35" s="10"/>
      <c r="AF35" s="10"/>
      <c r="AG35" s="10"/>
      <c r="AJ35" s="10"/>
      <c r="AK35" s="10"/>
      <c r="AN35" s="10"/>
      <c r="AO35" s="10"/>
      <c r="AR35" s="10"/>
      <c r="AS35" s="10"/>
      <c r="AV35" s="10"/>
      <c r="AW35" s="10"/>
      <c r="AZ35" s="10"/>
      <c r="BA35" s="10"/>
      <c r="BD35" s="10"/>
      <c r="BE35" s="10"/>
      <c r="BH35" s="10"/>
      <c r="BI35" s="10"/>
      <c r="BL35" s="10"/>
      <c r="BM35" s="10"/>
      <c r="BN35">
        <f>SUMIFS($D35:$BM35,$D$9:$BM$9,$H$1)</f>
        <v>0</v>
      </c>
      <c r="BO35">
        <f>SUMIFS($D35:$BM35,$D$9:$BM$9,$H$2)</f>
        <v>0</v>
      </c>
      <c r="BP35">
        <f>BN35-BO35</f>
        <v>0</v>
      </c>
    </row>
    <row r="36" spans="2:68">
      <c r="B36" s="6" t="s">
        <v>62</v>
      </c>
      <c r="C36" s="6" t="s">
        <v>63</v>
      </c>
      <c r="D36" s="10"/>
      <c r="E36" s="10"/>
      <c r="H36" s="10"/>
      <c r="I36" s="10"/>
      <c r="L36" s="10"/>
      <c r="M36" s="10"/>
      <c r="P36" s="10"/>
      <c r="Q36" s="10"/>
      <c r="T36" s="10"/>
      <c r="U36" s="10"/>
      <c r="X36" s="10"/>
      <c r="Y36" s="10"/>
      <c r="AB36" s="10"/>
      <c r="AC36" s="10"/>
      <c r="AF36" s="10"/>
      <c r="AG36" s="10"/>
      <c r="AJ36" s="10"/>
      <c r="AK36" s="10"/>
      <c r="AN36" s="10"/>
      <c r="AO36" s="10"/>
      <c r="AR36" s="10"/>
      <c r="AS36" s="10"/>
      <c r="AV36" s="10"/>
      <c r="AW36" s="10"/>
      <c r="AZ36" s="10"/>
      <c r="BA36" s="10"/>
      <c r="BD36" s="10"/>
      <c r="BE36" s="10"/>
      <c r="BH36" s="10"/>
      <c r="BI36" s="10"/>
      <c r="BL36" s="10"/>
      <c r="BM36" s="10"/>
      <c r="BN36">
        <f>SUMIFS($D36:$BM36,$D$9:$BM$9,$H$1)</f>
        <v>0</v>
      </c>
      <c r="BO36">
        <f>SUMIFS($D36:$BM36,$D$9:$BM$9,$H$2)</f>
        <v>0</v>
      </c>
      <c r="BP36">
        <f>BN36-BO36</f>
        <v>0</v>
      </c>
    </row>
    <row r="37" spans="2:68">
      <c r="B37" s="6" t="s">
        <v>64</v>
      </c>
      <c r="C37" s="6" t="s">
        <v>63</v>
      </c>
      <c r="D37" s="10"/>
      <c r="E37" s="10"/>
      <c r="H37" s="10"/>
      <c r="I37" s="10"/>
      <c r="L37" s="10"/>
      <c r="M37" s="10"/>
      <c r="P37" s="10"/>
      <c r="Q37" s="10"/>
      <c r="T37" s="10"/>
      <c r="U37" s="10"/>
      <c r="X37" s="10"/>
      <c r="Y37" s="10"/>
      <c r="AB37" s="10"/>
      <c r="AC37" s="10"/>
      <c r="AF37" s="10"/>
      <c r="AG37" s="10"/>
      <c r="AJ37" s="10"/>
      <c r="AK37" s="10"/>
      <c r="AN37" s="10"/>
      <c r="AO37" s="10"/>
      <c r="AR37" s="10"/>
      <c r="AS37" s="10"/>
      <c r="AV37" s="10"/>
      <c r="AW37" s="10"/>
      <c r="AZ37" s="10"/>
      <c r="BA37" s="10"/>
      <c r="BD37" s="10"/>
      <c r="BE37" s="10"/>
      <c r="BH37" s="10"/>
      <c r="BI37" s="10"/>
      <c r="BL37" s="10"/>
      <c r="BM37" s="10"/>
      <c r="BN37">
        <f>SUMIFS($D37:$BM37,$D$9:$BM$9,$H$1)</f>
        <v>0</v>
      </c>
      <c r="BO37">
        <f>SUMIFS($D37:$BM37,$D$9:$BM$9,$H$2)</f>
        <v>0</v>
      </c>
      <c r="BP37">
        <f>BN37-BO37</f>
        <v>0</v>
      </c>
    </row>
    <row r="38" spans="2:68">
      <c r="B38" s="6" t="s">
        <v>65</v>
      </c>
      <c r="C38" s="6" t="s">
        <v>66</v>
      </c>
      <c r="D38" s="10"/>
      <c r="E38" s="10"/>
      <c r="H38" s="10"/>
      <c r="I38" s="10"/>
      <c r="L38" s="10"/>
      <c r="M38" s="10"/>
      <c r="P38" s="10"/>
      <c r="Q38" s="10"/>
      <c r="T38" s="10"/>
      <c r="U38" s="10"/>
      <c r="X38" s="10"/>
      <c r="Y38" s="10"/>
      <c r="AB38" s="10"/>
      <c r="AC38" s="10"/>
      <c r="AF38" s="10"/>
      <c r="AG38" s="10"/>
      <c r="AJ38" s="10"/>
      <c r="AK38" s="10"/>
      <c r="AN38" s="10"/>
      <c r="AO38" s="10"/>
      <c r="AR38" s="10"/>
      <c r="AS38" s="10"/>
      <c r="AV38" s="10"/>
      <c r="AW38" s="10"/>
      <c r="AZ38" s="10"/>
      <c r="BA38" s="10"/>
      <c r="BD38" s="10"/>
      <c r="BE38" s="10"/>
      <c r="BH38" s="10"/>
      <c r="BI38" s="10"/>
      <c r="BL38" s="10"/>
      <c r="BM38" s="10"/>
      <c r="BN38">
        <f>SUMIFS($D38:$BM38,$D$9:$BM$9,$H$1)</f>
        <v>0</v>
      </c>
      <c r="BO38">
        <f>SUMIFS($D38:$BM38,$D$9:$BM$9,$H$2)</f>
        <v>0</v>
      </c>
      <c r="BP38">
        <f>BN38-BO38</f>
        <v>0</v>
      </c>
    </row>
    <row r="39" spans="2:68">
      <c r="B39" s="6" t="s">
        <v>67</v>
      </c>
      <c r="C39" s="6" t="s">
        <v>68</v>
      </c>
      <c r="D39" s="10"/>
      <c r="E39" s="10"/>
      <c r="H39" s="10"/>
      <c r="I39" s="10"/>
      <c r="L39" s="10"/>
      <c r="M39" s="10"/>
      <c r="P39" s="10"/>
      <c r="Q39" s="10"/>
      <c r="T39" s="10"/>
      <c r="U39" s="10"/>
      <c r="X39" s="10"/>
      <c r="Y39" s="10"/>
      <c r="AB39" s="10"/>
      <c r="AC39" s="10"/>
      <c r="AF39" s="10"/>
      <c r="AG39" s="10"/>
      <c r="AJ39" s="10"/>
      <c r="AK39" s="10"/>
      <c r="AN39" s="10"/>
      <c r="AO39" s="10"/>
      <c r="AR39" s="10"/>
      <c r="AS39" s="10"/>
      <c r="AV39" s="10"/>
      <c r="AW39" s="10"/>
      <c r="AZ39" s="10"/>
      <c r="BA39" s="10"/>
      <c r="BD39" s="10"/>
      <c r="BE39" s="10"/>
      <c r="BH39" s="10"/>
      <c r="BI39" s="10"/>
      <c r="BL39" s="10"/>
      <c r="BM39" s="10"/>
      <c r="BN39">
        <f>SUMIFS($D39:$BM39,$D$9:$BM$9,$H$1)</f>
        <v>0</v>
      </c>
      <c r="BO39">
        <f>SUMIFS($D39:$BM39,$D$9:$BM$9,$H$2)</f>
        <v>0</v>
      </c>
      <c r="BP39">
        <f>BN39-BO39</f>
        <v>0</v>
      </c>
    </row>
    <row r="40" spans="2:68">
      <c r="B40" s="6" t="s">
        <v>69</v>
      </c>
      <c r="C40" s="6" t="s">
        <v>70</v>
      </c>
      <c r="D40" s="10"/>
      <c r="E40" s="10"/>
      <c r="H40" s="10"/>
      <c r="I40" s="10"/>
      <c r="L40" s="10"/>
      <c r="M40" s="10"/>
      <c r="P40" s="10"/>
      <c r="Q40" s="10"/>
      <c r="T40" s="10"/>
      <c r="U40" s="10"/>
      <c r="X40" s="10"/>
      <c r="Y40" s="10"/>
      <c r="AB40" s="10"/>
      <c r="AC40" s="10"/>
      <c r="AF40" s="10"/>
      <c r="AG40" s="10"/>
      <c r="AJ40" s="10"/>
      <c r="AK40" s="10"/>
      <c r="AN40" s="10"/>
      <c r="AO40" s="10"/>
      <c r="AR40" s="10"/>
      <c r="AS40" s="10"/>
      <c r="AV40" s="10"/>
      <c r="AW40" s="10"/>
      <c r="AZ40" s="10"/>
      <c r="BA40" s="10"/>
      <c r="BD40" s="10"/>
      <c r="BE40" s="10"/>
      <c r="BH40" s="10"/>
      <c r="BI40" s="10"/>
      <c r="BL40" s="10"/>
      <c r="BM40" s="10"/>
      <c r="BN40">
        <f>SUMIFS($D40:$BM40,$D$9:$BM$9,$H$1)</f>
        <v>0</v>
      </c>
      <c r="BO40">
        <f>SUMIFS($D40:$BM40,$D$9:$BM$9,$H$2)</f>
        <v>0</v>
      </c>
      <c r="BP40">
        <f>BN40-BO40</f>
        <v>0</v>
      </c>
    </row>
    <row r="41" spans="2:68">
      <c r="B41" s="6" t="s">
        <v>71</v>
      </c>
      <c r="C41" s="6" t="s">
        <v>72</v>
      </c>
      <c r="D41" s="10"/>
      <c r="E41" s="10"/>
      <c r="H41" s="10"/>
      <c r="I41" s="10"/>
      <c r="L41" s="10"/>
      <c r="M41" s="10"/>
      <c r="P41" s="10"/>
      <c r="Q41" s="10"/>
      <c r="T41" s="10"/>
      <c r="U41" s="10"/>
      <c r="X41" s="10"/>
      <c r="Y41" s="10"/>
      <c r="AB41" s="10"/>
      <c r="AC41" s="10"/>
      <c r="AF41" s="10"/>
      <c r="AG41" s="10"/>
      <c r="AJ41" s="10"/>
      <c r="AK41" s="10"/>
      <c r="AN41" s="10"/>
      <c r="AO41" s="10"/>
      <c r="AR41" s="10"/>
      <c r="AS41" s="10"/>
      <c r="AV41" s="10"/>
      <c r="AW41" s="10"/>
      <c r="AZ41" s="10"/>
      <c r="BA41" s="10"/>
      <c r="BD41" s="10"/>
      <c r="BE41" s="10"/>
      <c r="BH41" s="10"/>
      <c r="BI41" s="10"/>
      <c r="BL41" s="10"/>
      <c r="BM41" s="10"/>
      <c r="BN41">
        <f>SUMIFS($D41:$BM41,$D$9:$BM$9,$H$1)</f>
        <v>0</v>
      </c>
      <c r="BO41">
        <f>SUMIFS($D41:$BM41,$D$9:$BM$9,$H$2)</f>
        <v>0</v>
      </c>
      <c r="BP41">
        <f>BN41-BO41</f>
        <v>0</v>
      </c>
    </row>
    <row r="42" spans="2:68">
      <c r="B42" s="6" t="s">
        <v>73</v>
      </c>
      <c r="C42" s="6" t="s">
        <v>74</v>
      </c>
      <c r="D42" s="10"/>
      <c r="E42" s="10"/>
      <c r="H42" s="10"/>
      <c r="I42" s="10"/>
      <c r="L42" s="10"/>
      <c r="M42" s="10"/>
      <c r="P42" s="10"/>
      <c r="Q42" s="10"/>
      <c r="T42" s="10"/>
      <c r="U42" s="10"/>
      <c r="X42" s="10"/>
      <c r="Y42" s="10"/>
      <c r="AB42" s="10"/>
      <c r="AC42" s="10"/>
      <c r="AF42" s="10"/>
      <c r="AG42" s="10"/>
      <c r="AJ42" s="10"/>
      <c r="AK42" s="10"/>
      <c r="AN42" s="10"/>
      <c r="AO42" s="10"/>
      <c r="AR42" s="10"/>
      <c r="AS42" s="10"/>
      <c r="AV42" s="10"/>
      <c r="AW42" s="10"/>
      <c r="AZ42" s="10"/>
      <c r="BA42" s="10"/>
      <c r="BD42" s="10"/>
      <c r="BE42" s="10"/>
      <c r="BH42" s="10"/>
      <c r="BI42" s="10"/>
      <c r="BL42" s="10"/>
      <c r="BM42" s="10"/>
      <c r="BN42">
        <f>SUMIFS($D42:$BM42,$D$9:$BM$9,$H$1)</f>
        <v>0</v>
      </c>
      <c r="BO42">
        <f>SUMIFS($D42:$BM42,$D$9:$BM$9,$H$2)</f>
        <v>0</v>
      </c>
      <c r="BP42">
        <f>BN42-BO42</f>
        <v>0</v>
      </c>
    </row>
    <row r="43" spans="2:68">
      <c r="B43" s="6" t="s">
        <v>75</v>
      </c>
      <c r="C43" s="6" t="s">
        <v>76</v>
      </c>
      <c r="D43" s="10"/>
      <c r="E43" s="10"/>
      <c r="H43" s="10"/>
      <c r="I43" s="10"/>
      <c r="L43" s="10"/>
      <c r="M43" s="10"/>
      <c r="P43" s="10"/>
      <c r="Q43" s="10"/>
      <c r="T43" s="10"/>
      <c r="U43" s="10"/>
      <c r="X43" s="10"/>
      <c r="Y43" s="10"/>
      <c r="AB43" s="10"/>
      <c r="AC43" s="10"/>
      <c r="AF43" s="10"/>
      <c r="AG43" s="10"/>
      <c r="AJ43" s="10"/>
      <c r="AK43" s="10"/>
      <c r="AN43" s="10"/>
      <c r="AO43" s="10"/>
      <c r="AR43" s="10"/>
      <c r="AS43" s="10"/>
      <c r="AV43" s="10"/>
      <c r="AW43" s="10"/>
      <c r="AZ43" s="10"/>
      <c r="BA43" s="10"/>
      <c r="BD43" s="10"/>
      <c r="BE43" s="10"/>
      <c r="BH43" s="10"/>
      <c r="BI43" s="10"/>
      <c r="BL43" s="10"/>
      <c r="BM43" s="10"/>
      <c r="BN43">
        <f>SUMIFS($D43:$BM43,$D$9:$BM$9,$H$1)</f>
        <v>0</v>
      </c>
      <c r="BO43">
        <f>SUMIFS($D43:$BM43,$D$9:$BM$9,$H$2)</f>
        <v>0</v>
      </c>
      <c r="BP43">
        <f>BN43-BO43</f>
        <v>0</v>
      </c>
    </row>
    <row r="44" spans="2:68">
      <c r="B44" s="6" t="s">
        <v>77</v>
      </c>
      <c r="C44" s="6" t="s">
        <v>78</v>
      </c>
      <c r="D44" s="10"/>
      <c r="E44" s="10"/>
      <c r="H44" s="10"/>
      <c r="I44" s="10"/>
      <c r="L44" s="10"/>
      <c r="M44" s="10"/>
      <c r="P44" s="10"/>
      <c r="Q44" s="10"/>
      <c r="T44" s="10"/>
      <c r="U44" s="10"/>
      <c r="X44" s="10"/>
      <c r="Y44" s="10"/>
      <c r="AB44" s="10"/>
      <c r="AC44" s="10"/>
      <c r="AF44" s="10"/>
      <c r="AG44" s="10"/>
      <c r="AJ44" s="10"/>
      <c r="AK44" s="10"/>
      <c r="AN44" s="10"/>
      <c r="AO44" s="10"/>
      <c r="AR44" s="10"/>
      <c r="AS44" s="10"/>
      <c r="AV44" s="10"/>
      <c r="AW44" s="10"/>
      <c r="AZ44" s="10"/>
      <c r="BA44" s="10"/>
      <c r="BD44" s="10"/>
      <c r="BE44" s="10"/>
      <c r="BH44" s="10"/>
      <c r="BI44" s="10"/>
      <c r="BL44" s="10"/>
      <c r="BM44" s="10"/>
      <c r="BN44">
        <f>SUMIFS($D44:$BM44,$D$9:$BM$9,$H$1)</f>
        <v>0</v>
      </c>
      <c r="BO44">
        <f>SUMIFS($D44:$BM44,$D$9:$BM$9,$H$2)</f>
        <v>0</v>
      </c>
      <c r="BP44">
        <f>BN44-BO44</f>
        <v>0</v>
      </c>
    </row>
    <row r="45" spans="2:68">
      <c r="B45" s="6" t="s">
        <v>79</v>
      </c>
      <c r="C45" s="6" t="s">
        <v>78</v>
      </c>
      <c r="D45" s="10"/>
      <c r="E45" s="10"/>
      <c r="H45" s="10"/>
      <c r="I45" s="10"/>
      <c r="L45" s="10"/>
      <c r="M45" s="10"/>
      <c r="P45" s="10"/>
      <c r="Q45" s="10"/>
      <c r="T45" s="10"/>
      <c r="U45" s="10"/>
      <c r="X45" s="10"/>
      <c r="Y45" s="10"/>
      <c r="AB45" s="10"/>
      <c r="AC45" s="10"/>
      <c r="AF45" s="10"/>
      <c r="AG45" s="10"/>
      <c r="AJ45" s="10"/>
      <c r="AK45" s="10"/>
      <c r="AN45" s="10"/>
      <c r="AO45" s="10"/>
      <c r="AR45" s="10"/>
      <c r="AS45" s="10"/>
      <c r="AV45" s="10"/>
      <c r="AW45" s="10"/>
      <c r="AZ45" s="10"/>
      <c r="BA45" s="10"/>
      <c r="BD45" s="10"/>
      <c r="BE45" s="10"/>
      <c r="BH45" s="10"/>
      <c r="BI45" s="10"/>
      <c r="BL45" s="10"/>
      <c r="BM45" s="10"/>
      <c r="BN45">
        <f>SUMIFS($D45:$BM45,$D$9:$BM$9,$H$1)</f>
        <v>0</v>
      </c>
      <c r="BO45">
        <f>SUMIFS($D45:$BM45,$D$9:$BM$9,$H$2)</f>
        <v>0</v>
      </c>
      <c r="BP45">
        <f>BN45-BO45</f>
        <v>0</v>
      </c>
    </row>
    <row r="46" spans="2:68">
      <c r="B46" s="6" t="s">
        <v>80</v>
      </c>
      <c r="C46" s="6" t="s">
        <v>81</v>
      </c>
      <c r="D46" s="10"/>
      <c r="E46" s="10"/>
      <c r="H46" s="10"/>
      <c r="I46" s="10"/>
      <c r="L46" s="10"/>
      <c r="M46" s="10"/>
      <c r="P46" s="10"/>
      <c r="Q46" s="10"/>
      <c r="T46" s="10"/>
      <c r="U46" s="10"/>
      <c r="X46" s="10"/>
      <c r="Y46" s="10"/>
      <c r="AB46" s="10"/>
      <c r="AC46" s="10"/>
      <c r="AF46" s="10"/>
      <c r="AG46" s="10"/>
      <c r="AJ46" s="10"/>
      <c r="AK46" s="10"/>
      <c r="AN46" s="10"/>
      <c r="AO46" s="10"/>
      <c r="AR46" s="10"/>
      <c r="AS46" s="10"/>
      <c r="AV46" s="10"/>
      <c r="AW46" s="10"/>
      <c r="AZ46" s="10"/>
      <c r="BA46" s="10"/>
      <c r="BD46" s="10"/>
      <c r="BE46" s="10"/>
      <c r="BH46" s="10"/>
      <c r="BI46" s="10"/>
      <c r="BL46" s="10"/>
      <c r="BM46" s="10"/>
      <c r="BN46">
        <f>SUMIFS($D46:$BM46,$D$9:$BM$9,$H$1)</f>
        <v>0</v>
      </c>
      <c r="BO46">
        <f>SUMIFS($D46:$BM46,$D$9:$BM$9,$H$2)</f>
        <v>0</v>
      </c>
      <c r="BP46">
        <f>BN46-BO46</f>
        <v>0</v>
      </c>
    </row>
    <row r="47" spans="2:68">
      <c r="B47" s="6" t="s">
        <v>82</v>
      </c>
      <c r="C47" s="6" t="s">
        <v>81</v>
      </c>
      <c r="D47" s="10"/>
      <c r="E47" s="10"/>
      <c r="H47" s="10"/>
      <c r="I47" s="10"/>
      <c r="L47" s="10"/>
      <c r="M47" s="10"/>
      <c r="P47" s="10"/>
      <c r="Q47" s="10"/>
      <c r="T47" s="10"/>
      <c r="U47" s="10"/>
      <c r="X47" s="10"/>
      <c r="Y47" s="10"/>
      <c r="AB47" s="10"/>
      <c r="AC47" s="10"/>
      <c r="AF47" s="10"/>
      <c r="AG47" s="10"/>
      <c r="AJ47" s="10"/>
      <c r="AK47" s="10"/>
      <c r="AN47" s="10"/>
      <c r="AO47" s="10"/>
      <c r="AR47" s="10"/>
      <c r="AS47" s="10"/>
      <c r="AV47" s="10"/>
      <c r="AW47" s="10"/>
      <c r="AZ47" s="10"/>
      <c r="BA47" s="10"/>
      <c r="BD47" s="10"/>
      <c r="BE47" s="10"/>
      <c r="BH47" s="10"/>
      <c r="BI47" s="10"/>
      <c r="BL47" s="10"/>
      <c r="BM47" s="10"/>
      <c r="BN47">
        <f>SUMIFS($D47:$BM47,$D$9:$BM$9,$H$1)</f>
        <v>0</v>
      </c>
      <c r="BO47">
        <f>SUMIFS($D47:$BM47,$D$9:$BM$9,$H$2)</f>
        <v>0</v>
      </c>
      <c r="BP47">
        <f>BN47-BO47</f>
        <v>0</v>
      </c>
    </row>
    <row r="48" spans="2:68">
      <c r="B48" s="6" t="s">
        <v>83</v>
      </c>
      <c r="C48" s="6" t="s">
        <v>84</v>
      </c>
      <c r="D48" s="15"/>
      <c r="E48" s="15"/>
      <c r="F48" s="9"/>
      <c r="G48" s="9"/>
      <c r="H48" s="15"/>
      <c r="I48" s="15"/>
      <c r="J48" s="9"/>
      <c r="K48" s="9"/>
      <c r="L48" s="15"/>
      <c r="M48" s="15"/>
      <c r="N48" s="9"/>
      <c r="O48" s="9"/>
      <c r="P48" s="15"/>
      <c r="Q48" s="15"/>
      <c r="R48" s="9"/>
      <c r="S48" s="9"/>
      <c r="T48" s="15"/>
      <c r="U48" s="15"/>
      <c r="V48" s="9"/>
      <c r="W48" s="9"/>
      <c r="X48" s="15"/>
      <c r="Y48" s="15"/>
      <c r="Z48" s="9"/>
      <c r="AA48" s="9"/>
      <c r="AB48" s="15"/>
      <c r="AC48" s="15"/>
      <c r="AD48" s="9"/>
      <c r="AE48" s="9"/>
      <c r="AF48" s="15"/>
      <c r="AG48" s="15"/>
      <c r="AH48" s="9"/>
      <c r="AI48" s="9"/>
      <c r="AJ48" s="15"/>
      <c r="AK48" s="15"/>
      <c r="AL48" s="9"/>
      <c r="AM48" s="9"/>
      <c r="AN48" s="15"/>
      <c r="AO48" s="15"/>
      <c r="AP48" s="9"/>
      <c r="AQ48" s="9"/>
      <c r="AR48" s="15"/>
      <c r="AS48" s="15"/>
      <c r="AT48" s="9"/>
      <c r="AU48" s="9"/>
      <c r="AV48" s="15"/>
      <c r="AW48" s="15"/>
      <c r="AX48" s="9"/>
      <c r="AY48" s="9"/>
      <c r="AZ48" s="15"/>
      <c r="BA48" s="15"/>
      <c r="BB48" s="9"/>
      <c r="BC48" s="9"/>
      <c r="BD48" s="15"/>
      <c r="BE48" s="15"/>
      <c r="BF48" s="9"/>
      <c r="BG48" s="9"/>
      <c r="BH48" s="15"/>
      <c r="BI48" s="15"/>
      <c r="BJ48" s="9"/>
      <c r="BK48" s="9"/>
      <c r="BL48" s="15"/>
      <c r="BM48" s="15"/>
      <c r="BN48">
        <f>SUMIFS($D48:$BM48,$D$9:$BM$9,$H$1)</f>
        <v>0</v>
      </c>
      <c r="BO48">
        <f>SUMIFS($D48:$BM48,$D$9:$BM$9,$H$2)</f>
        <v>0</v>
      </c>
      <c r="BP48">
        <f>BN48-BO48</f>
        <v>0</v>
      </c>
    </row>
    <row r="49" spans="2:68">
      <c r="B49" s="6" t="s">
        <v>85</v>
      </c>
      <c r="C49" s="6" t="s">
        <v>86</v>
      </c>
      <c r="D49" s="10"/>
      <c r="E49" s="10"/>
      <c r="H49" s="10"/>
      <c r="I49" s="10"/>
      <c r="L49" s="10"/>
      <c r="M49" s="10"/>
      <c r="P49" s="10"/>
      <c r="Q49" s="10"/>
      <c r="T49" s="10"/>
      <c r="U49" s="10"/>
      <c r="X49" s="10"/>
      <c r="Y49" s="10"/>
      <c r="AB49" s="10"/>
      <c r="AC49" s="10"/>
      <c r="AF49" s="10"/>
      <c r="AG49" s="10"/>
      <c r="AJ49" s="10"/>
      <c r="AK49" s="10"/>
      <c r="AN49" s="10"/>
      <c r="AO49" s="10"/>
      <c r="AR49" s="10"/>
      <c r="AS49" s="10"/>
      <c r="AV49" s="10"/>
      <c r="AW49" s="10"/>
      <c r="AZ49" s="10"/>
      <c r="BA49" s="10"/>
      <c r="BD49" s="10"/>
      <c r="BE49" s="10"/>
      <c r="BH49" s="10"/>
      <c r="BI49" s="10"/>
      <c r="BL49" s="10"/>
      <c r="BM49" s="10"/>
      <c r="BN49">
        <f>SUMIFS($D49:$BM49,$D$9:$BM$9,$H$1)</f>
        <v>0</v>
      </c>
      <c r="BO49">
        <f>SUMIFS($D49:$BM49,$D$9:$BM$9,$H$2)</f>
        <v>0</v>
      </c>
      <c r="BP49">
        <f>BN49-BO49</f>
        <v>0</v>
      </c>
    </row>
    <row r="50" spans="2:68">
      <c r="B50" s="6" t="s">
        <v>87</v>
      </c>
      <c r="C50" s="6" t="s">
        <v>88</v>
      </c>
      <c r="BN50">
        <f>SUMIFS($D50:$BM50,$D$9:$BM$9,$H$1)</f>
        <v>0</v>
      </c>
      <c r="BO50">
        <f>SUMIFS($D50:$BM50,$D$9:$BM$9,$H$2)</f>
        <v>0</v>
      </c>
      <c r="BP50">
        <f>BN50-BO50</f>
        <v>0</v>
      </c>
    </row>
    <row r="51" spans="2:68">
      <c r="B51" s="6" t="s">
        <v>89</v>
      </c>
      <c r="C51" s="6" t="s">
        <v>88</v>
      </c>
      <c r="BN51">
        <f>SUMIFS($D51:$BM51,$D$9:$BM$9,$H$1)</f>
        <v>0</v>
      </c>
      <c r="BO51">
        <f>SUMIFS($D51:$BM51,$D$9:$BM$9,$H$2)</f>
        <v>0</v>
      </c>
      <c r="BP51">
        <f>BN51-BO51</f>
        <v>0</v>
      </c>
    </row>
    <row r="52" spans="2:68">
      <c r="B52" s="6" t="s">
        <v>90</v>
      </c>
      <c r="C52" s="6" t="s">
        <v>91</v>
      </c>
      <c r="BN52">
        <f>SUMIFS($D52:$BM52,$D$9:$BM$9,$H$1)</f>
        <v>0</v>
      </c>
      <c r="BO52">
        <f>SUMIFS($D52:$BM52,$D$9:$BM$9,$H$2)</f>
        <v>0</v>
      </c>
      <c r="BP52">
        <f>BN52-BO52</f>
        <v>0</v>
      </c>
    </row>
    <row r="53" spans="2:68">
      <c r="B53" s="6" t="s">
        <v>92</v>
      </c>
      <c r="C53" s="6" t="s">
        <v>91</v>
      </c>
      <c r="BN53">
        <f>SUMIFS($D53:$BM53,$D$9:$BM$9,$H$1)</f>
        <v>0</v>
      </c>
      <c r="BO53">
        <f>SUMIFS($D53:$BM53,$D$9:$BM$9,$H$2)</f>
        <v>0</v>
      </c>
      <c r="BP53">
        <f>BN53-BO53</f>
        <v>0</v>
      </c>
    </row>
    <row r="54" spans="2:68">
      <c r="B54" s="6" t="s">
        <v>93</v>
      </c>
      <c r="C54" s="6" t="s">
        <v>94</v>
      </c>
      <c r="BN54">
        <f>SUMIFS($D54:$BM54,$D$9:$BM$9,$H$1)</f>
        <v>0</v>
      </c>
      <c r="BO54">
        <f>SUMIFS($D54:$BM54,$D$9:$BM$9,$H$2)</f>
        <v>0</v>
      </c>
      <c r="BP54">
        <f>BN54-BO54</f>
        <v>0</v>
      </c>
    </row>
    <row r="55" spans="2:68">
      <c r="B55" s="6" t="s">
        <v>95</v>
      </c>
      <c r="C55" s="6" t="s">
        <v>94</v>
      </c>
      <c r="BN55">
        <f>SUMIFS($D55:$BM55,$D$9:$BM$9,$H$1)</f>
        <v>0</v>
      </c>
      <c r="BO55">
        <f>SUMIFS($D55:$BM55,$D$9:$BM$9,$H$2)</f>
        <v>0</v>
      </c>
      <c r="BP55">
        <f>BN55-BO55</f>
        <v>0</v>
      </c>
    </row>
    <row r="56" spans="2:68">
      <c r="B56" s="6" t="s">
        <v>96</v>
      </c>
      <c r="C56" s="6" t="s">
        <v>97</v>
      </c>
      <c r="BN56">
        <f>SUMIFS($D56:$BM56,$D$9:$BM$9,$H$1)</f>
        <v>0</v>
      </c>
      <c r="BO56">
        <f>SUMIFS($D56:$BM56,$D$9:$BM$9,$H$2)</f>
        <v>0</v>
      </c>
      <c r="BP56">
        <f>BN56-BO56</f>
        <v>0</v>
      </c>
    </row>
    <row r="57" spans="2:68">
      <c r="B57" s="6" t="s">
        <v>98</v>
      </c>
      <c r="C57" s="6" t="s">
        <v>99</v>
      </c>
      <c r="BN57">
        <f>SUMIFS($D57:$BM57,$D$9:$BM$9,$H$1)</f>
        <v>0</v>
      </c>
      <c r="BO57">
        <f>SUMIFS($D57:$BM57,$D$9:$BM$9,$H$2)</f>
        <v>0</v>
      </c>
      <c r="BP57">
        <f>BN57-BO57</f>
        <v>0</v>
      </c>
    </row>
  </sheetData>
  <sortState xmlns:xlrd2="http://schemas.microsoft.com/office/spreadsheetml/2017/richdata2" ref="B10:BP57">
    <sortCondition descending="1" ref="BP10:BP57"/>
  </sortState>
  <mergeCells count="93">
    <mergeCell ref="AP7:AQ7"/>
    <mergeCell ref="AR7:AS7"/>
    <mergeCell ref="AT7:AU7"/>
    <mergeCell ref="AV7:AW7"/>
    <mergeCell ref="BL7:BM7"/>
    <mergeCell ref="AZ7:BA7"/>
    <mergeCell ref="BB7:BC7"/>
    <mergeCell ref="BD7:BE7"/>
    <mergeCell ref="BF7:BG7"/>
    <mergeCell ref="BH7:BI7"/>
    <mergeCell ref="BJ7:BK7"/>
    <mergeCell ref="P7:Q7"/>
    <mergeCell ref="R7:S7"/>
    <mergeCell ref="T7:U7"/>
    <mergeCell ref="V7:W7"/>
    <mergeCell ref="X7:Y7"/>
    <mergeCell ref="Z7:AA7"/>
    <mergeCell ref="BF6:BG6"/>
    <mergeCell ref="BH6:BI6"/>
    <mergeCell ref="BJ6:BK6"/>
    <mergeCell ref="BL6:BM6"/>
    <mergeCell ref="BB6:BC6"/>
    <mergeCell ref="BD6:BE6"/>
    <mergeCell ref="AF6:AG6"/>
    <mergeCell ref="AX7:AY7"/>
    <mergeCell ref="AB7:AC7"/>
    <mergeCell ref="AD7:AE7"/>
    <mergeCell ref="AF7:AG7"/>
    <mergeCell ref="AH7:AI7"/>
    <mergeCell ref="AJ7:AK7"/>
    <mergeCell ref="AL7:AM7"/>
    <mergeCell ref="AN7:AO7"/>
    <mergeCell ref="D7:E7"/>
    <mergeCell ref="F7:G7"/>
    <mergeCell ref="H7:I7"/>
    <mergeCell ref="J7:K7"/>
    <mergeCell ref="L7:M7"/>
    <mergeCell ref="N7:O7"/>
    <mergeCell ref="AT6:AU6"/>
    <mergeCell ref="AV6:AW6"/>
    <mergeCell ref="AX6:AY6"/>
    <mergeCell ref="AZ6:BA6"/>
    <mergeCell ref="AH6:AI6"/>
    <mergeCell ref="AJ6:AK6"/>
    <mergeCell ref="AL6:AM6"/>
    <mergeCell ref="AN6:AO6"/>
    <mergeCell ref="AP6:AQ6"/>
    <mergeCell ref="AR6:AS6"/>
    <mergeCell ref="V6:W6"/>
    <mergeCell ref="X6:Y6"/>
    <mergeCell ref="Z6:AA6"/>
    <mergeCell ref="AB6:AC6"/>
    <mergeCell ref="AD6:AE6"/>
    <mergeCell ref="BL5:BM5"/>
    <mergeCell ref="D6:E6"/>
    <mergeCell ref="F6:G6"/>
    <mergeCell ref="H6:I6"/>
    <mergeCell ref="J6:K6"/>
    <mergeCell ref="L6:M6"/>
    <mergeCell ref="N6:O6"/>
    <mergeCell ref="P6:Q6"/>
    <mergeCell ref="R6:S6"/>
    <mergeCell ref="T6:U6"/>
    <mergeCell ref="AZ5:BA5"/>
    <mergeCell ref="BB5:BC5"/>
    <mergeCell ref="BD5:BE5"/>
    <mergeCell ref="BF5:BG5"/>
    <mergeCell ref="BH5:BI5"/>
    <mergeCell ref="BJ5:BK5"/>
    <mergeCell ref="AX5:AY5"/>
    <mergeCell ref="AB5:AC5"/>
    <mergeCell ref="AD5:AE5"/>
    <mergeCell ref="AF5:AG5"/>
    <mergeCell ref="AH5:AI5"/>
    <mergeCell ref="AJ5:AK5"/>
    <mergeCell ref="AL5:AM5"/>
    <mergeCell ref="AN5:AO5"/>
    <mergeCell ref="AP5:AQ5"/>
    <mergeCell ref="AR5:AS5"/>
    <mergeCell ref="AT5:AU5"/>
    <mergeCell ref="AV5:AW5"/>
    <mergeCell ref="Z5:AA5"/>
    <mergeCell ref="D5:E5"/>
    <mergeCell ref="F5:G5"/>
    <mergeCell ref="H5:I5"/>
    <mergeCell ref="J5:K5"/>
    <mergeCell ref="L5:M5"/>
    <mergeCell ref="N5:O5"/>
    <mergeCell ref="P5:Q5"/>
    <mergeCell ref="R5:S5"/>
    <mergeCell ref="T5:U5"/>
    <mergeCell ref="V5:W5"/>
    <mergeCell ref="X5:Y5"/>
  </mergeCells>
  <conditionalFormatting sqref="A9:XFD9">
    <cfRule type="cellIs" dxfId="11" priority="3" operator="equal">
      <formula>"J"</formula>
    </cfRule>
    <cfRule type="cellIs" dxfId="10" priority="4" operator="equal">
      <formula>"A"</formula>
    </cfRule>
  </conditionalFormatting>
  <conditionalFormatting sqref="B10:BP60">
    <cfRule type="expression" dxfId="9" priority="2">
      <formula>MOD(ROW(),2)</formula>
    </cfRule>
  </conditionalFormatting>
  <conditionalFormatting sqref="BP10:BP57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{883B794C-5933-4458-B38B-CD69AE7E251B}</x14:id>
        </ext>
      </extLst>
    </cfRule>
  </conditionalFormatting>
  <dataValidations count="1">
    <dataValidation type="whole" allowBlank="1" showInputMessage="1" showErrorMessage="1" error="Attention: Entier compris entre 0 et 12 !" sqref="D10:BM49" xr:uid="{D6AA4D16-2259-485A-BF2F-FCF12F9DA8A0}">
      <formula1>0</formula1>
      <formula2>12</formula2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130" orientation="portrait" r:id="rId1"/>
  <headerFooter>
    <oddFooter>&amp;L&amp;D - &amp;T&amp;RMois de &amp;A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83B794C-5933-4458-B38B-CD69AE7E25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BP10:BP57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626E4-2797-4BD4-B869-CC330FA1E59E}">
  <sheetPr codeName="Feuil12"/>
  <dimension ref="B1:BQ57"/>
  <sheetViews>
    <sheetView showGridLines="0" showRowColHeaders="0" zoomScaleNormal="100" workbookViewId="0">
      <pane xSplit="3" ySplit="9" topLeftCell="AI10" activePane="bottomRight" state="frozen"/>
      <selection pane="bottomRight" activeCell="BN6" sqref="BN6:BP6"/>
      <selection pane="bottomLeft" activeCell="CC17" sqref="CC17"/>
      <selection pane="topRight" activeCell="CC17" sqref="CC17"/>
    </sheetView>
  </sheetViews>
  <sheetFormatPr defaultColWidth="11.42578125" defaultRowHeight="15"/>
  <cols>
    <col min="1" max="1" width="2.42578125" customWidth="1"/>
    <col min="2" max="2" width="32.140625" style="6" customWidth="1"/>
    <col min="3" max="3" width="22.42578125" style="6" customWidth="1"/>
    <col min="4" max="65" width="3.7109375" customWidth="1"/>
    <col min="66" max="66" width="4.42578125" bestFit="1" customWidth="1"/>
    <col min="67" max="67" width="4.28515625" customWidth="1"/>
    <col min="68" max="68" width="7.42578125" bestFit="1" customWidth="1"/>
    <col min="69" max="69" width="7.7109375" customWidth="1"/>
    <col min="70" max="105" width="3.7109375" customWidth="1"/>
  </cols>
  <sheetData>
    <row r="1" spans="2:69">
      <c r="H1" s="4" t="s">
        <v>0</v>
      </c>
      <c r="I1" t="s">
        <v>1</v>
      </c>
      <c r="N1" t="s">
        <v>2</v>
      </c>
      <c r="O1" t="s">
        <v>3</v>
      </c>
    </row>
    <row r="2" spans="2:69">
      <c r="H2" s="5" t="s">
        <v>4</v>
      </c>
      <c r="I2" t="s">
        <v>5</v>
      </c>
      <c r="N2" t="s">
        <v>6</v>
      </c>
      <c r="O2" t="s">
        <v>7</v>
      </c>
    </row>
    <row r="3" spans="2:69">
      <c r="N3" t="s">
        <v>8</v>
      </c>
      <c r="O3" t="s">
        <v>9</v>
      </c>
    </row>
    <row r="4" spans="2:69">
      <c r="B4" s="12"/>
      <c r="C4" s="12"/>
    </row>
    <row r="5" spans="2:69" s="2" customFormat="1">
      <c r="B5" s="13"/>
      <c r="C5" s="13"/>
      <c r="D5" s="45">
        <v>1</v>
      </c>
      <c r="E5" s="45"/>
      <c r="F5" s="45">
        <v>2</v>
      </c>
      <c r="G5" s="45"/>
      <c r="H5" s="45">
        <v>3</v>
      </c>
      <c r="I5" s="45"/>
      <c r="J5" s="45">
        <v>4</v>
      </c>
      <c r="K5" s="45"/>
      <c r="L5" s="45">
        <v>5</v>
      </c>
      <c r="M5" s="45"/>
      <c r="N5" s="45">
        <v>6</v>
      </c>
      <c r="O5" s="45"/>
      <c r="P5" s="45">
        <v>7</v>
      </c>
      <c r="Q5" s="45"/>
      <c r="R5" s="45">
        <v>8</v>
      </c>
      <c r="S5" s="45"/>
      <c r="T5" s="45">
        <v>9</v>
      </c>
      <c r="U5" s="45"/>
      <c r="V5" s="45">
        <v>10</v>
      </c>
      <c r="W5" s="45"/>
      <c r="X5" s="45">
        <v>11</v>
      </c>
      <c r="Y5" s="45"/>
      <c r="Z5" s="45">
        <v>12</v>
      </c>
      <c r="AA5" s="45"/>
      <c r="AB5" s="45">
        <v>13</v>
      </c>
      <c r="AC5" s="45"/>
      <c r="AD5" s="45">
        <v>14</v>
      </c>
      <c r="AE5" s="45"/>
      <c r="AF5" s="45">
        <v>15</v>
      </c>
      <c r="AG5" s="45"/>
      <c r="AH5" s="45">
        <v>16</v>
      </c>
      <c r="AI5" s="45"/>
      <c r="AJ5" s="45">
        <v>17</v>
      </c>
      <c r="AK5" s="45"/>
      <c r="AL5" s="45">
        <v>18</v>
      </c>
      <c r="AM5" s="45"/>
      <c r="AN5" s="45">
        <v>19</v>
      </c>
      <c r="AO5" s="45"/>
      <c r="AP5" s="45">
        <v>20</v>
      </c>
      <c r="AQ5" s="45"/>
      <c r="AR5" s="45">
        <v>21</v>
      </c>
      <c r="AS5" s="45"/>
      <c r="AT5" s="45">
        <v>22</v>
      </c>
      <c r="AU5" s="45"/>
      <c r="AV5" s="45">
        <v>23</v>
      </c>
      <c r="AW5" s="45"/>
      <c r="AX5" s="45">
        <v>24</v>
      </c>
      <c r="AY5" s="45"/>
      <c r="AZ5" s="45">
        <v>25</v>
      </c>
      <c r="BA5" s="45"/>
      <c r="BB5" s="45">
        <v>26</v>
      </c>
      <c r="BC5" s="45"/>
      <c r="BD5" s="45">
        <v>27</v>
      </c>
      <c r="BE5" s="45"/>
      <c r="BF5" s="45">
        <v>28</v>
      </c>
      <c r="BG5" s="45"/>
      <c r="BH5" s="45">
        <v>29</v>
      </c>
      <c r="BI5" s="45"/>
      <c r="BJ5" s="45">
        <v>30</v>
      </c>
      <c r="BK5" s="45"/>
      <c r="BL5" s="45">
        <v>31</v>
      </c>
      <c r="BM5" s="45"/>
      <c r="BQ5" s="6" t="s">
        <v>10</v>
      </c>
    </row>
    <row r="6" spans="2:69">
      <c r="D6" s="49" t="str">
        <f t="shared" ref="D6:BL6" si="0">TEXT(WEEKDAY(DATE($BQ$6,10,D$5),1),"jjj")</f>
        <v>jeu.</v>
      </c>
      <c r="E6" s="49"/>
      <c r="F6" s="49" t="str">
        <f t="shared" si="0"/>
        <v>ven.</v>
      </c>
      <c r="G6" s="49"/>
      <c r="H6" s="49" t="str">
        <f t="shared" si="0"/>
        <v>sam.</v>
      </c>
      <c r="I6" s="49"/>
      <c r="J6" s="49" t="str">
        <f t="shared" si="0"/>
        <v>dim.</v>
      </c>
      <c r="K6" s="49"/>
      <c r="L6" s="49" t="str">
        <f t="shared" si="0"/>
        <v>lun.</v>
      </c>
      <c r="M6" s="49"/>
      <c r="N6" s="49" t="str">
        <f t="shared" si="0"/>
        <v>mar.</v>
      </c>
      <c r="O6" s="49"/>
      <c r="P6" s="49" t="str">
        <f t="shared" si="0"/>
        <v>mer.</v>
      </c>
      <c r="Q6" s="49"/>
      <c r="R6" s="49" t="str">
        <f t="shared" si="0"/>
        <v>jeu.</v>
      </c>
      <c r="S6" s="49"/>
      <c r="T6" s="49" t="str">
        <f t="shared" si="0"/>
        <v>ven.</v>
      </c>
      <c r="U6" s="49"/>
      <c r="V6" s="49" t="str">
        <f t="shared" si="0"/>
        <v>sam.</v>
      </c>
      <c r="W6" s="49"/>
      <c r="X6" s="49" t="str">
        <f t="shared" si="0"/>
        <v>dim.</v>
      </c>
      <c r="Y6" s="49"/>
      <c r="Z6" s="49" t="str">
        <f t="shared" si="0"/>
        <v>lun.</v>
      </c>
      <c r="AA6" s="49"/>
      <c r="AB6" s="49" t="str">
        <f t="shared" si="0"/>
        <v>mar.</v>
      </c>
      <c r="AC6" s="49"/>
      <c r="AD6" s="49" t="str">
        <f t="shared" si="0"/>
        <v>mer.</v>
      </c>
      <c r="AE6" s="49"/>
      <c r="AF6" s="49" t="str">
        <f t="shared" si="0"/>
        <v>jeu.</v>
      </c>
      <c r="AG6" s="49"/>
      <c r="AH6" s="49" t="str">
        <f t="shared" si="0"/>
        <v>ven.</v>
      </c>
      <c r="AI6" s="49"/>
      <c r="AJ6" s="49" t="str">
        <f t="shared" si="0"/>
        <v>sam.</v>
      </c>
      <c r="AK6" s="49"/>
      <c r="AL6" s="49" t="str">
        <f t="shared" si="0"/>
        <v>dim.</v>
      </c>
      <c r="AM6" s="49"/>
      <c r="AN6" s="49" t="str">
        <f t="shared" si="0"/>
        <v>lun.</v>
      </c>
      <c r="AO6" s="49"/>
      <c r="AP6" s="49" t="str">
        <f t="shared" si="0"/>
        <v>mar.</v>
      </c>
      <c r="AQ6" s="49"/>
      <c r="AR6" s="49" t="str">
        <f t="shared" si="0"/>
        <v>mer.</v>
      </c>
      <c r="AS6" s="49"/>
      <c r="AT6" s="49" t="str">
        <f t="shared" si="0"/>
        <v>jeu.</v>
      </c>
      <c r="AU6" s="49"/>
      <c r="AV6" s="49" t="str">
        <f t="shared" si="0"/>
        <v>ven.</v>
      </c>
      <c r="AW6" s="49"/>
      <c r="AX6" s="49" t="str">
        <f t="shared" si="0"/>
        <v>sam.</v>
      </c>
      <c r="AY6" s="49"/>
      <c r="AZ6" s="49" t="str">
        <f t="shared" si="0"/>
        <v>dim.</v>
      </c>
      <c r="BA6" s="49"/>
      <c r="BB6" s="49" t="str">
        <f t="shared" si="0"/>
        <v>lun.</v>
      </c>
      <c r="BC6" s="49"/>
      <c r="BD6" s="49" t="str">
        <f t="shared" si="0"/>
        <v>mar.</v>
      </c>
      <c r="BE6" s="49"/>
      <c r="BF6" s="49" t="str">
        <f t="shared" si="0"/>
        <v>mer.</v>
      </c>
      <c r="BG6" s="49"/>
      <c r="BH6" s="49" t="str">
        <f t="shared" si="0"/>
        <v>jeu.</v>
      </c>
      <c r="BI6" s="49"/>
      <c r="BJ6" s="49" t="str">
        <f t="shared" si="0"/>
        <v>ven.</v>
      </c>
      <c r="BK6" s="49"/>
      <c r="BL6" s="49" t="str">
        <f t="shared" si="0"/>
        <v>sam.</v>
      </c>
      <c r="BM6" s="49"/>
      <c r="BN6" s="14" t="str">
        <f>Janvier!BN6</f>
        <v>LIAGE 3</v>
      </c>
      <c r="BO6" s="14"/>
      <c r="BP6" s="14"/>
      <c r="BQ6" s="7">
        <f>Janvier!BQ6</f>
        <v>2020</v>
      </c>
    </row>
    <row r="7" spans="2:69">
      <c r="B7" s="30" t="s">
        <v>116</v>
      </c>
      <c r="C7" s="1"/>
      <c r="D7" s="47">
        <v>1</v>
      </c>
      <c r="E7" s="48"/>
      <c r="F7" s="47">
        <v>2</v>
      </c>
      <c r="G7" s="48"/>
      <c r="H7" s="47">
        <v>3</v>
      </c>
      <c r="I7" s="48"/>
      <c r="J7" s="47">
        <v>4</v>
      </c>
      <c r="K7" s="48"/>
      <c r="L7" s="47">
        <v>5</v>
      </c>
      <c r="M7" s="48"/>
      <c r="N7" s="47">
        <v>6</v>
      </c>
      <c r="O7" s="48"/>
      <c r="P7" s="47">
        <v>7</v>
      </c>
      <c r="Q7" s="48"/>
      <c r="R7" s="47">
        <v>8</v>
      </c>
      <c r="S7" s="48"/>
      <c r="T7" s="47">
        <v>9</v>
      </c>
      <c r="U7" s="48"/>
      <c r="V7" s="47">
        <v>10</v>
      </c>
      <c r="W7" s="48"/>
      <c r="X7" s="47">
        <v>11</v>
      </c>
      <c r="Y7" s="48"/>
      <c r="Z7" s="47">
        <v>12</v>
      </c>
      <c r="AA7" s="48"/>
      <c r="AB7" s="47">
        <v>13</v>
      </c>
      <c r="AC7" s="48"/>
      <c r="AD7" s="47">
        <v>14</v>
      </c>
      <c r="AE7" s="48"/>
      <c r="AF7" s="47">
        <v>15</v>
      </c>
      <c r="AG7" s="48"/>
      <c r="AH7" s="47">
        <v>16</v>
      </c>
      <c r="AI7" s="48"/>
      <c r="AJ7" s="47">
        <v>17</v>
      </c>
      <c r="AK7" s="48"/>
      <c r="AL7" s="47">
        <v>18</v>
      </c>
      <c r="AM7" s="48"/>
      <c r="AN7" s="47">
        <v>19</v>
      </c>
      <c r="AO7" s="48"/>
      <c r="AP7" s="47">
        <v>20</v>
      </c>
      <c r="AQ7" s="48"/>
      <c r="AR7" s="47">
        <v>21</v>
      </c>
      <c r="AS7" s="48"/>
      <c r="AT7" s="47">
        <v>22</v>
      </c>
      <c r="AU7" s="48"/>
      <c r="AV7" s="47">
        <v>23</v>
      </c>
      <c r="AW7" s="48"/>
      <c r="AX7" s="47">
        <v>24</v>
      </c>
      <c r="AY7" s="48"/>
      <c r="AZ7" s="47">
        <v>25</v>
      </c>
      <c r="BA7" s="48"/>
      <c r="BB7" s="47">
        <v>26</v>
      </c>
      <c r="BC7" s="48"/>
      <c r="BD7" s="47">
        <v>27</v>
      </c>
      <c r="BE7" s="48"/>
      <c r="BF7" s="47">
        <v>28</v>
      </c>
      <c r="BG7" s="48"/>
      <c r="BH7" s="47">
        <v>29</v>
      </c>
      <c r="BI7" s="48"/>
      <c r="BJ7" s="47">
        <v>30</v>
      </c>
      <c r="BK7" s="48"/>
      <c r="BL7" s="47">
        <v>31</v>
      </c>
      <c r="BM7" s="48"/>
    </row>
    <row r="8" spans="2:69" s="11" customFormat="1">
      <c r="B8" s="8"/>
      <c r="C8" s="8" t="s">
        <v>117</v>
      </c>
      <c r="D8" s="16"/>
      <c r="E8" s="17"/>
      <c r="F8" s="18"/>
      <c r="G8" s="17"/>
      <c r="H8" s="19"/>
      <c r="I8" s="20"/>
      <c r="J8" s="19"/>
      <c r="K8" s="20"/>
      <c r="L8" s="19"/>
      <c r="M8" s="20"/>
      <c r="N8" s="19"/>
      <c r="O8" s="20"/>
      <c r="P8" s="19"/>
      <c r="Q8" s="20"/>
      <c r="R8" s="19"/>
      <c r="S8" s="20"/>
      <c r="T8" s="19"/>
      <c r="U8" s="20"/>
      <c r="V8" s="19"/>
      <c r="W8" s="20"/>
      <c r="X8" s="19"/>
      <c r="Y8" s="20"/>
      <c r="Z8" s="19"/>
      <c r="AA8" s="20"/>
      <c r="AB8" s="19"/>
      <c r="AC8" s="20"/>
      <c r="AD8" s="19"/>
      <c r="AE8" s="20"/>
      <c r="AF8" s="19"/>
      <c r="AG8" s="20"/>
      <c r="AH8" s="19"/>
      <c r="AI8" s="20"/>
      <c r="AJ8" s="19"/>
      <c r="AK8" s="20"/>
      <c r="AL8" s="19"/>
      <c r="AM8" s="20"/>
      <c r="AN8" s="19"/>
      <c r="AO8" s="20"/>
      <c r="AP8" s="19"/>
      <c r="AQ8" s="20"/>
      <c r="AR8" s="19"/>
      <c r="AS8" s="20"/>
      <c r="AT8" s="19"/>
      <c r="AU8" s="20"/>
      <c r="AV8" s="19"/>
      <c r="AW8" s="20"/>
      <c r="AX8" s="19"/>
      <c r="AY8" s="20"/>
      <c r="AZ8" s="19"/>
      <c r="BA8" s="20"/>
      <c r="BB8" s="19"/>
      <c r="BC8" s="20"/>
      <c r="BD8" s="19"/>
      <c r="BE8" s="20"/>
      <c r="BF8" s="19"/>
      <c r="BG8" s="20"/>
      <c r="BH8" s="19"/>
      <c r="BI8" s="20"/>
      <c r="BJ8" s="19"/>
      <c r="BK8" s="20"/>
      <c r="BL8" s="19"/>
      <c r="BM8" s="21"/>
      <c r="BN8">
        <f>SUM(BN10:BN49)</f>
        <v>71</v>
      </c>
      <c r="BO8">
        <f>SUM(BO10:BO49)</f>
        <v>27</v>
      </c>
      <c r="BP8">
        <f>SUM(BP10:BP49)</f>
        <v>44</v>
      </c>
    </row>
    <row r="9" spans="2:69" s="3" customFormat="1" ht="12" customHeight="1">
      <c r="B9" s="23" t="s">
        <v>14</v>
      </c>
      <c r="C9" s="23" t="s">
        <v>15</v>
      </c>
      <c r="D9" s="24" t="str">
        <f>$H$1</f>
        <v>A</v>
      </c>
      <c r="E9" s="25" t="str">
        <f>$H$2</f>
        <v>J</v>
      </c>
      <c r="F9" s="26" t="str">
        <f>$H$1</f>
        <v>A</v>
      </c>
      <c r="G9" s="27" t="str">
        <f>$H$2</f>
        <v>J</v>
      </c>
      <c r="H9" s="28" t="str">
        <f>$H$1</f>
        <v>A</v>
      </c>
      <c r="I9" s="25" t="str">
        <f>$H$2</f>
        <v>J</v>
      </c>
      <c r="J9" s="26" t="str">
        <f>$H$1</f>
        <v>A</v>
      </c>
      <c r="K9" s="27" t="str">
        <f>$H$2</f>
        <v>J</v>
      </c>
      <c r="L9" s="28" t="str">
        <f>$H$1</f>
        <v>A</v>
      </c>
      <c r="M9" s="25" t="str">
        <f>$H$2</f>
        <v>J</v>
      </c>
      <c r="N9" s="26" t="str">
        <f>$H$1</f>
        <v>A</v>
      </c>
      <c r="O9" s="27" t="str">
        <f>$H$2</f>
        <v>J</v>
      </c>
      <c r="P9" s="28" t="str">
        <f>$H$1</f>
        <v>A</v>
      </c>
      <c r="Q9" s="25" t="str">
        <f>$H$2</f>
        <v>J</v>
      </c>
      <c r="R9" s="26" t="str">
        <f>$H$1</f>
        <v>A</v>
      </c>
      <c r="S9" s="27" t="str">
        <f>$H$2</f>
        <v>J</v>
      </c>
      <c r="T9" s="28" t="str">
        <f>$H$1</f>
        <v>A</v>
      </c>
      <c r="U9" s="25" t="str">
        <f>$H$2</f>
        <v>J</v>
      </c>
      <c r="V9" s="26" t="str">
        <f>$H$1</f>
        <v>A</v>
      </c>
      <c r="W9" s="27" t="str">
        <f>$H$2</f>
        <v>J</v>
      </c>
      <c r="X9" s="28" t="str">
        <f>$H$1</f>
        <v>A</v>
      </c>
      <c r="Y9" s="25" t="str">
        <f>$H$2</f>
        <v>J</v>
      </c>
      <c r="Z9" s="26" t="str">
        <f>$H$1</f>
        <v>A</v>
      </c>
      <c r="AA9" s="27" t="str">
        <f>$H$2</f>
        <v>J</v>
      </c>
      <c r="AB9" s="28" t="str">
        <f>$H$1</f>
        <v>A</v>
      </c>
      <c r="AC9" s="25" t="str">
        <f>$H$2</f>
        <v>J</v>
      </c>
      <c r="AD9" s="26" t="str">
        <f>$H$1</f>
        <v>A</v>
      </c>
      <c r="AE9" s="27" t="str">
        <f>$H$2</f>
        <v>J</v>
      </c>
      <c r="AF9" s="28" t="str">
        <f>$H$1</f>
        <v>A</v>
      </c>
      <c r="AG9" s="25" t="str">
        <f>$H$2</f>
        <v>J</v>
      </c>
      <c r="AH9" s="26" t="str">
        <f>$H$1</f>
        <v>A</v>
      </c>
      <c r="AI9" s="27" t="str">
        <f>$H$2</f>
        <v>J</v>
      </c>
      <c r="AJ9" s="28" t="str">
        <f>$H$1</f>
        <v>A</v>
      </c>
      <c r="AK9" s="25" t="str">
        <f>$H$2</f>
        <v>J</v>
      </c>
      <c r="AL9" s="26" t="str">
        <f>$H$1</f>
        <v>A</v>
      </c>
      <c r="AM9" s="27" t="str">
        <f>$H$2</f>
        <v>J</v>
      </c>
      <c r="AN9" s="28" t="str">
        <f>$H$1</f>
        <v>A</v>
      </c>
      <c r="AO9" s="25" t="str">
        <f>$H$2</f>
        <v>J</v>
      </c>
      <c r="AP9" s="26" t="str">
        <f>$H$1</f>
        <v>A</v>
      </c>
      <c r="AQ9" s="27" t="str">
        <f>$H$2</f>
        <v>J</v>
      </c>
      <c r="AR9" s="28" t="str">
        <f>$H$1</f>
        <v>A</v>
      </c>
      <c r="AS9" s="25" t="str">
        <f>$H$2</f>
        <v>J</v>
      </c>
      <c r="AT9" s="26" t="str">
        <f>$H$1</f>
        <v>A</v>
      </c>
      <c r="AU9" s="27" t="str">
        <f>$H$2</f>
        <v>J</v>
      </c>
      <c r="AV9" s="28" t="str">
        <f>$H$1</f>
        <v>A</v>
      </c>
      <c r="AW9" s="25" t="str">
        <f>$H$2</f>
        <v>J</v>
      </c>
      <c r="AX9" s="26" t="str">
        <f>$H$1</f>
        <v>A</v>
      </c>
      <c r="AY9" s="27" t="str">
        <f>$H$2</f>
        <v>J</v>
      </c>
      <c r="AZ9" s="28" t="str">
        <f>$H$1</f>
        <v>A</v>
      </c>
      <c r="BA9" s="25" t="str">
        <f>$H$2</f>
        <v>J</v>
      </c>
      <c r="BB9" s="26" t="str">
        <f>$H$1</f>
        <v>A</v>
      </c>
      <c r="BC9" s="27" t="str">
        <f>$H$2</f>
        <v>J</v>
      </c>
      <c r="BD9" s="28" t="str">
        <f>$H$1</f>
        <v>A</v>
      </c>
      <c r="BE9" s="25" t="str">
        <f>$H$2</f>
        <v>J</v>
      </c>
      <c r="BF9" s="26" t="str">
        <f>$H$1</f>
        <v>A</v>
      </c>
      <c r="BG9" s="27" t="str">
        <f>$H$2</f>
        <v>J</v>
      </c>
      <c r="BH9" s="28" t="str">
        <f>$H$1</f>
        <v>A</v>
      </c>
      <c r="BI9" s="25" t="str">
        <f>$H$2</f>
        <v>J</v>
      </c>
      <c r="BJ9" s="26" t="str">
        <f>$H$1</f>
        <v>A</v>
      </c>
      <c r="BK9" s="27" t="str">
        <f>$H$2</f>
        <v>J</v>
      </c>
      <c r="BL9" s="28" t="str">
        <f>$H$1</f>
        <v>A</v>
      </c>
      <c r="BM9" s="24" t="str">
        <f>$H$2</f>
        <v>J</v>
      </c>
      <c r="BN9" s="29" t="s">
        <v>2</v>
      </c>
      <c r="BO9" s="29" t="s">
        <v>6</v>
      </c>
      <c r="BP9" s="29" t="s">
        <v>8</v>
      </c>
    </row>
    <row r="10" spans="2:69">
      <c r="B10" s="6" t="s">
        <v>16</v>
      </c>
      <c r="C10" s="6" t="s">
        <v>17</v>
      </c>
      <c r="D10" s="10"/>
      <c r="E10" s="15"/>
      <c r="F10" s="9"/>
      <c r="G10" s="9"/>
      <c r="H10" s="15"/>
      <c r="I10" s="15"/>
      <c r="J10" s="9"/>
      <c r="K10" s="9"/>
      <c r="L10" s="15"/>
      <c r="M10" s="15"/>
      <c r="N10" s="9"/>
      <c r="O10" s="9"/>
      <c r="P10" s="15"/>
      <c r="Q10" s="15"/>
      <c r="R10" s="9"/>
      <c r="S10" s="9"/>
      <c r="T10" s="15"/>
      <c r="U10" s="15"/>
      <c r="V10" s="9"/>
      <c r="W10" s="9"/>
      <c r="X10" s="15"/>
      <c r="Y10" s="15"/>
      <c r="Z10" s="9"/>
      <c r="AA10" s="9"/>
      <c r="AB10" s="15"/>
      <c r="AC10" s="15"/>
      <c r="AD10" s="9"/>
      <c r="AE10" s="9"/>
      <c r="AF10" s="15"/>
      <c r="AG10" s="15"/>
      <c r="AH10" s="9"/>
      <c r="AI10" s="9"/>
      <c r="AJ10" s="15"/>
      <c r="AK10" s="15"/>
      <c r="AL10" s="9"/>
      <c r="AM10" s="9"/>
      <c r="AN10" s="15">
        <v>7</v>
      </c>
      <c r="AO10" s="15"/>
      <c r="AP10" s="9">
        <v>5</v>
      </c>
      <c r="AQ10" s="9">
        <v>1</v>
      </c>
      <c r="AR10" s="15"/>
      <c r="AS10" s="15"/>
      <c r="AT10" s="9"/>
      <c r="AU10" s="9"/>
      <c r="AV10" s="15"/>
      <c r="AW10" s="15"/>
      <c r="AX10" s="9">
        <v>8</v>
      </c>
      <c r="AY10" s="9"/>
      <c r="AZ10" s="15"/>
      <c r="BA10" s="15"/>
      <c r="BB10" s="15"/>
      <c r="BC10" s="9"/>
      <c r="BD10" s="15"/>
      <c r="BE10" s="15"/>
      <c r="BF10" s="15"/>
      <c r="BG10" s="9"/>
      <c r="BH10" s="15"/>
      <c r="BI10" s="15"/>
      <c r="BJ10" s="9"/>
      <c r="BK10" s="9"/>
      <c r="BL10" s="15"/>
      <c r="BM10" s="10"/>
      <c r="BN10">
        <f>SUMIFS($D10:$BM10,$D$9:$BM$9,$H$1)</f>
        <v>20</v>
      </c>
      <c r="BO10">
        <f>SUMIFS($D10:$BM10,$D$9:$BM$9,$H$2)</f>
        <v>1</v>
      </c>
      <c r="BP10">
        <f>BN10-BO10</f>
        <v>19</v>
      </c>
    </row>
    <row r="11" spans="2:69">
      <c r="B11" s="6" t="s">
        <v>18</v>
      </c>
      <c r="C11" s="6" t="s">
        <v>19</v>
      </c>
      <c r="D11" s="10">
        <v>8</v>
      </c>
      <c r="E11" s="15">
        <v>8</v>
      </c>
      <c r="F11" s="9">
        <v>7</v>
      </c>
      <c r="G11" s="9">
        <v>1</v>
      </c>
      <c r="H11" s="15">
        <v>10</v>
      </c>
      <c r="I11" s="15"/>
      <c r="J11" s="15"/>
      <c r="K11" s="9"/>
      <c r="L11" s="15"/>
      <c r="M11" s="15"/>
      <c r="N11" s="9"/>
      <c r="O11" s="9"/>
      <c r="P11" s="15"/>
      <c r="Q11" s="15"/>
      <c r="R11" s="15"/>
      <c r="S11" s="9"/>
      <c r="T11" s="15"/>
      <c r="U11" s="15"/>
      <c r="V11" s="9"/>
      <c r="W11" s="9"/>
      <c r="X11" s="15"/>
      <c r="Y11" s="15"/>
      <c r="Z11" s="9"/>
      <c r="AA11" s="9"/>
      <c r="AB11" s="15"/>
      <c r="AC11" s="15"/>
      <c r="AD11" s="9"/>
      <c r="AE11" s="9"/>
      <c r="AF11" s="15"/>
      <c r="AG11" s="15"/>
      <c r="AH11" s="9"/>
      <c r="AI11" s="9"/>
      <c r="AJ11" s="15"/>
      <c r="AK11" s="15"/>
      <c r="AL11" s="9"/>
      <c r="AM11" s="9"/>
      <c r="AN11" s="15"/>
      <c r="AO11" s="15"/>
      <c r="AP11" s="9"/>
      <c r="AQ11" s="9"/>
      <c r="AR11" s="15"/>
      <c r="AS11" s="15"/>
      <c r="AT11" s="9"/>
      <c r="AU11" s="9"/>
      <c r="AV11" s="15"/>
      <c r="AW11" s="15"/>
      <c r="AX11" s="9"/>
      <c r="AY11" s="9"/>
      <c r="AZ11" s="15"/>
      <c r="BA11" s="15"/>
      <c r="BB11" s="9"/>
      <c r="BC11" s="9"/>
      <c r="BD11" s="15"/>
      <c r="BE11" s="15"/>
      <c r="BF11" s="9"/>
      <c r="BG11" s="9"/>
      <c r="BH11" s="15"/>
      <c r="BI11" s="15"/>
      <c r="BJ11" s="9"/>
      <c r="BK11" s="9"/>
      <c r="BL11" s="15"/>
      <c r="BM11" s="10"/>
      <c r="BN11">
        <f>SUMIFS($D11:$BM11,$D$9:$BM$9,$H$1)</f>
        <v>25</v>
      </c>
      <c r="BO11">
        <f>SUMIFS($D11:$BM11,$D$9:$BM$9,$H$2)</f>
        <v>9</v>
      </c>
      <c r="BP11">
        <f>BN11-BO11</f>
        <v>16</v>
      </c>
    </row>
    <row r="12" spans="2:69">
      <c r="B12" s="6" t="s">
        <v>20</v>
      </c>
      <c r="C12" s="6" t="s">
        <v>21</v>
      </c>
      <c r="D12" s="10">
        <v>8</v>
      </c>
      <c r="E12" s="15">
        <v>2</v>
      </c>
      <c r="F12" s="9"/>
      <c r="G12" s="9"/>
      <c r="H12" s="15"/>
      <c r="I12" s="15">
        <v>6</v>
      </c>
      <c r="J12" s="9">
        <v>3</v>
      </c>
      <c r="K12" s="9"/>
      <c r="L12" s="15"/>
      <c r="M12" s="15"/>
      <c r="N12" s="9"/>
      <c r="O12" s="9"/>
      <c r="P12" s="15"/>
      <c r="Q12" s="15"/>
      <c r="R12" s="9"/>
      <c r="S12" s="9"/>
      <c r="T12" s="15">
        <v>7</v>
      </c>
      <c r="U12" s="15">
        <v>1</v>
      </c>
      <c r="V12" s="9"/>
      <c r="W12" s="9"/>
      <c r="X12" s="15">
        <v>8</v>
      </c>
      <c r="Y12" s="15">
        <v>8</v>
      </c>
      <c r="Z12" s="9"/>
      <c r="AA12" s="9"/>
      <c r="AB12" s="15"/>
      <c r="AC12" s="15"/>
      <c r="AD12" s="9"/>
      <c r="AE12" s="9"/>
      <c r="AF12" s="15"/>
      <c r="AG12" s="15"/>
      <c r="AH12" s="9"/>
      <c r="AI12" s="9"/>
      <c r="AJ12" s="15"/>
      <c r="AK12" s="15"/>
      <c r="AL12" s="9"/>
      <c r="AM12" s="9"/>
      <c r="AN12" s="15"/>
      <c r="AO12" s="15"/>
      <c r="AP12" s="9"/>
      <c r="AQ12" s="9"/>
      <c r="AR12" s="15"/>
      <c r="AS12" s="15"/>
      <c r="AT12" s="9"/>
      <c r="AU12" s="9"/>
      <c r="AV12" s="15"/>
      <c r="AW12" s="15"/>
      <c r="AX12" s="9"/>
      <c r="AY12" s="9"/>
      <c r="AZ12" s="15"/>
      <c r="BA12" s="15"/>
      <c r="BB12" s="9"/>
      <c r="BC12" s="9"/>
      <c r="BD12" s="15"/>
      <c r="BE12" s="15"/>
      <c r="BF12" s="9"/>
      <c r="BG12" s="9"/>
      <c r="BH12" s="15"/>
      <c r="BI12" s="15"/>
      <c r="BJ12" s="9"/>
      <c r="BK12" s="9"/>
      <c r="BL12" s="15"/>
      <c r="BM12" s="10"/>
      <c r="BN12">
        <f>SUMIFS($D12:$BM12,$D$9:$BM$9,$H$1)</f>
        <v>26</v>
      </c>
      <c r="BO12">
        <f>SUMIFS($D12:$BM12,$D$9:$BM$9,$H$2)</f>
        <v>17</v>
      </c>
      <c r="BP12">
        <f>BN12-BO12</f>
        <v>9</v>
      </c>
    </row>
    <row r="13" spans="2:69">
      <c r="B13" s="6" t="s">
        <v>22</v>
      </c>
      <c r="C13" s="6" t="s">
        <v>23</v>
      </c>
      <c r="D13" s="10"/>
      <c r="E13" s="10"/>
      <c r="H13" s="10"/>
      <c r="I13" s="10"/>
      <c r="L13" s="10"/>
      <c r="M13" s="10"/>
      <c r="P13" s="10"/>
      <c r="Q13" s="10"/>
      <c r="T13" s="10"/>
      <c r="U13" s="10"/>
      <c r="X13" s="10"/>
      <c r="Y13" s="10"/>
      <c r="AB13" s="10"/>
      <c r="AC13" s="10"/>
      <c r="AF13" s="10"/>
      <c r="AG13" s="10"/>
      <c r="AJ13" s="10"/>
      <c r="AK13" s="10"/>
      <c r="AN13" s="10"/>
      <c r="AO13" s="10"/>
      <c r="AR13" s="10"/>
      <c r="AS13" s="10"/>
      <c r="AV13" s="10"/>
      <c r="AW13" s="10"/>
      <c r="AZ13" s="10"/>
      <c r="BA13" s="10"/>
      <c r="BD13" s="10"/>
      <c r="BE13" s="10"/>
      <c r="BH13" s="10"/>
      <c r="BI13" s="10"/>
      <c r="BL13" s="10"/>
      <c r="BM13" s="10"/>
      <c r="BN13">
        <f>SUMIFS($D13:$BM13,$D$9:$BM$9,$H$1)</f>
        <v>0</v>
      </c>
      <c r="BO13">
        <f>SUMIFS($D13:$BM13,$D$9:$BM$9,$H$2)</f>
        <v>0</v>
      </c>
      <c r="BP13">
        <f>BN13-BO13</f>
        <v>0</v>
      </c>
    </row>
    <row r="14" spans="2:69">
      <c r="B14" s="6" t="s">
        <v>24</v>
      </c>
      <c r="C14" s="6" t="s">
        <v>25</v>
      </c>
      <c r="D14" s="15"/>
      <c r="E14" s="15"/>
      <c r="F14" s="9"/>
      <c r="G14" s="9"/>
      <c r="H14" s="15"/>
      <c r="I14" s="15"/>
      <c r="J14" s="9"/>
      <c r="K14" s="9"/>
      <c r="L14" s="15"/>
      <c r="M14" s="15"/>
      <c r="N14" s="9"/>
      <c r="O14" s="9"/>
      <c r="P14" s="15"/>
      <c r="Q14" s="15"/>
      <c r="R14" s="9"/>
      <c r="S14" s="9"/>
      <c r="T14" s="15"/>
      <c r="U14" s="15"/>
      <c r="V14" s="9"/>
      <c r="W14" s="9"/>
      <c r="X14" s="15"/>
      <c r="Y14" s="15"/>
      <c r="Z14" s="9"/>
      <c r="AA14" s="9"/>
      <c r="AB14" s="15"/>
      <c r="AC14" s="15"/>
      <c r="AD14" s="9"/>
      <c r="AE14" s="9"/>
      <c r="AF14" s="15"/>
      <c r="AG14" s="15"/>
      <c r="AH14" s="9"/>
      <c r="AI14" s="9"/>
      <c r="AJ14" s="15"/>
      <c r="AK14" s="15"/>
      <c r="AL14" s="9"/>
      <c r="AM14" s="9"/>
      <c r="AN14" s="15"/>
      <c r="AO14" s="15"/>
      <c r="AP14" s="9"/>
      <c r="AQ14" s="9"/>
      <c r="AR14" s="15"/>
      <c r="AS14" s="15"/>
      <c r="AT14" s="9"/>
      <c r="AU14" s="9"/>
      <c r="AV14" s="15"/>
      <c r="AW14" s="15"/>
      <c r="AX14" s="9"/>
      <c r="AY14" s="9"/>
      <c r="AZ14" s="15"/>
      <c r="BA14" s="15"/>
      <c r="BB14" s="9"/>
      <c r="BC14" s="9"/>
      <c r="BD14" s="15"/>
      <c r="BE14" s="15"/>
      <c r="BF14" s="9"/>
      <c r="BG14" s="9"/>
      <c r="BH14" s="15"/>
      <c r="BI14" s="15"/>
      <c r="BJ14" s="9"/>
      <c r="BK14" s="9"/>
      <c r="BL14" s="15"/>
      <c r="BM14" s="15"/>
      <c r="BN14">
        <f>SUMIFS($D14:$BM14,$D$9:$BM$9,$H$1)</f>
        <v>0</v>
      </c>
      <c r="BO14">
        <f>SUMIFS($D14:$BM14,$D$9:$BM$9,$H$2)</f>
        <v>0</v>
      </c>
      <c r="BP14">
        <f>BN14-BO14</f>
        <v>0</v>
      </c>
    </row>
    <row r="15" spans="2:69">
      <c r="B15" s="6" t="s">
        <v>26</v>
      </c>
      <c r="C15" s="6" t="s">
        <v>27</v>
      </c>
      <c r="D15" s="10"/>
      <c r="E15" s="15"/>
      <c r="F15" s="9"/>
      <c r="G15" s="9"/>
      <c r="H15" s="15"/>
      <c r="I15" s="15"/>
      <c r="J15" s="9"/>
      <c r="K15" s="9"/>
      <c r="L15" s="15"/>
      <c r="M15" s="15"/>
      <c r="N15" s="9"/>
      <c r="O15" s="9"/>
      <c r="P15" s="15"/>
      <c r="Q15" s="15"/>
      <c r="R15" s="9"/>
      <c r="S15" s="9"/>
      <c r="T15" s="15"/>
      <c r="U15" s="15"/>
      <c r="V15" s="9"/>
      <c r="W15" s="9"/>
      <c r="X15" s="15"/>
      <c r="Y15" s="15"/>
      <c r="Z15" s="9"/>
      <c r="AA15" s="9"/>
      <c r="AB15" s="15"/>
      <c r="AC15" s="15"/>
      <c r="AD15" s="9"/>
      <c r="AE15" s="9"/>
      <c r="AF15" s="15"/>
      <c r="AG15" s="15"/>
      <c r="AH15" s="9"/>
      <c r="AI15" s="9"/>
      <c r="AJ15" s="15"/>
      <c r="AK15" s="15"/>
      <c r="AL15" s="9"/>
      <c r="AM15" s="9"/>
      <c r="AN15" s="15"/>
      <c r="AO15" s="15"/>
      <c r="AP15" s="9"/>
      <c r="AQ15" s="9"/>
      <c r="AR15" s="15"/>
      <c r="AS15" s="15"/>
      <c r="AT15" s="9"/>
      <c r="AU15" s="9"/>
      <c r="AV15" s="15"/>
      <c r="AW15" s="15"/>
      <c r="AX15" s="9"/>
      <c r="AY15" s="9"/>
      <c r="AZ15" s="15"/>
      <c r="BA15" s="15"/>
      <c r="BB15" s="9"/>
      <c r="BC15" s="9"/>
      <c r="BD15" s="15"/>
      <c r="BE15" s="15"/>
      <c r="BF15" s="9"/>
      <c r="BG15" s="9"/>
      <c r="BH15" s="15"/>
      <c r="BI15" s="15"/>
      <c r="BJ15" s="9"/>
      <c r="BK15" s="9"/>
      <c r="BL15" s="15"/>
      <c r="BM15" s="10"/>
      <c r="BN15">
        <f>SUMIFS($D15:$BM15,$D$9:$BM$9,$H$1)</f>
        <v>0</v>
      </c>
      <c r="BO15">
        <f>SUMIFS($D15:$BM15,$D$9:$BM$9,$H$2)</f>
        <v>0</v>
      </c>
      <c r="BP15">
        <f>BN15-BO15</f>
        <v>0</v>
      </c>
    </row>
    <row r="16" spans="2:69">
      <c r="B16" s="6" t="s">
        <v>28</v>
      </c>
      <c r="C16" s="6" t="s">
        <v>27</v>
      </c>
      <c r="D16" s="10"/>
      <c r="E16" s="15"/>
      <c r="F16" s="9"/>
      <c r="G16" s="9"/>
      <c r="H16" s="15"/>
      <c r="I16" s="15"/>
      <c r="J16" s="9"/>
      <c r="K16" s="9"/>
      <c r="L16" s="15"/>
      <c r="M16" s="15"/>
      <c r="N16" s="9"/>
      <c r="O16" s="9"/>
      <c r="P16" s="15"/>
      <c r="Q16" s="15"/>
      <c r="R16" s="9"/>
      <c r="S16" s="9"/>
      <c r="T16" s="15"/>
      <c r="U16" s="15"/>
      <c r="V16" s="9"/>
      <c r="W16" s="9"/>
      <c r="X16" s="15"/>
      <c r="Y16" s="15"/>
      <c r="Z16" s="9"/>
      <c r="AA16" s="9"/>
      <c r="AB16" s="15"/>
      <c r="AC16" s="15"/>
      <c r="AD16" s="9"/>
      <c r="AE16" s="9"/>
      <c r="AF16" s="15"/>
      <c r="AG16" s="15"/>
      <c r="AH16" s="9"/>
      <c r="AI16" s="9"/>
      <c r="AJ16" s="15"/>
      <c r="AK16" s="15"/>
      <c r="AL16" s="9"/>
      <c r="AM16" s="9"/>
      <c r="AN16" s="15"/>
      <c r="AO16" s="15"/>
      <c r="AP16" s="9"/>
      <c r="AQ16" s="9"/>
      <c r="AR16" s="15"/>
      <c r="AS16" s="15"/>
      <c r="AT16" s="9"/>
      <c r="AU16" s="9"/>
      <c r="AV16" s="15"/>
      <c r="AW16" s="15"/>
      <c r="AX16" s="9"/>
      <c r="AY16" s="9"/>
      <c r="AZ16" s="15"/>
      <c r="BA16" s="15"/>
      <c r="BB16" s="9"/>
      <c r="BC16" s="9"/>
      <c r="BD16" s="15"/>
      <c r="BE16" s="15"/>
      <c r="BF16" s="9"/>
      <c r="BG16" s="9"/>
      <c r="BH16" s="15"/>
      <c r="BI16" s="15"/>
      <c r="BJ16" s="9"/>
      <c r="BK16" s="9"/>
      <c r="BL16" s="15"/>
      <c r="BM16" s="10"/>
      <c r="BN16">
        <f>SUMIFS($D16:$BM16,$D$9:$BM$9,$H$1)</f>
        <v>0</v>
      </c>
      <c r="BO16">
        <f>SUMIFS($D16:$BM16,$D$9:$BM$9,$H$2)</f>
        <v>0</v>
      </c>
      <c r="BP16">
        <f>BN16-BO16</f>
        <v>0</v>
      </c>
    </row>
    <row r="17" spans="2:68">
      <c r="B17" s="6" t="s">
        <v>29</v>
      </c>
      <c r="C17" s="6" t="s">
        <v>30</v>
      </c>
      <c r="D17" s="10"/>
      <c r="E17" s="10"/>
      <c r="H17" s="10"/>
      <c r="I17" s="10"/>
      <c r="L17" s="10"/>
      <c r="M17" s="10"/>
      <c r="P17" s="10"/>
      <c r="Q17" s="10"/>
      <c r="T17" s="10"/>
      <c r="U17" s="10"/>
      <c r="X17" s="10"/>
      <c r="Y17" s="10"/>
      <c r="AB17" s="10"/>
      <c r="AC17" s="10"/>
      <c r="AF17" s="10"/>
      <c r="AG17" s="10"/>
      <c r="AJ17" s="10"/>
      <c r="AK17" s="10"/>
      <c r="AN17" s="10"/>
      <c r="AO17" s="10"/>
      <c r="AR17" s="10"/>
      <c r="AS17" s="10"/>
      <c r="AV17" s="10"/>
      <c r="AW17" s="10"/>
      <c r="AZ17" s="10"/>
      <c r="BA17" s="10"/>
      <c r="BD17" s="10"/>
      <c r="BE17" s="10"/>
      <c r="BH17" s="10"/>
      <c r="BI17" s="10"/>
      <c r="BL17" s="10"/>
      <c r="BM17" s="10"/>
      <c r="BN17">
        <f>SUMIFS($D17:$BM17,$D$9:$BM$9,$H$1)</f>
        <v>0</v>
      </c>
      <c r="BO17">
        <f>SUMIFS($D17:$BM17,$D$9:$BM$9,$H$2)</f>
        <v>0</v>
      </c>
      <c r="BP17">
        <f>BN17-BO17</f>
        <v>0</v>
      </c>
    </row>
    <row r="18" spans="2:68">
      <c r="B18" s="6" t="s">
        <v>31</v>
      </c>
      <c r="C18" s="6" t="s">
        <v>32</v>
      </c>
      <c r="D18" s="10"/>
      <c r="E18" s="10"/>
      <c r="H18" s="10"/>
      <c r="I18" s="10"/>
      <c r="L18" s="10"/>
      <c r="M18" s="10"/>
      <c r="P18" s="10"/>
      <c r="Q18" s="10"/>
      <c r="T18" s="10"/>
      <c r="U18" s="10"/>
      <c r="X18" s="10"/>
      <c r="Y18" s="10"/>
      <c r="AB18" s="10"/>
      <c r="AC18" s="10"/>
      <c r="AF18" s="10"/>
      <c r="AG18" s="10"/>
      <c r="AJ18" s="10"/>
      <c r="AK18" s="10"/>
      <c r="AN18" s="10"/>
      <c r="AO18" s="10"/>
      <c r="AR18" s="10"/>
      <c r="AS18" s="10"/>
      <c r="AV18" s="10"/>
      <c r="AW18" s="10"/>
      <c r="AZ18" s="10"/>
      <c r="BA18" s="10"/>
      <c r="BD18" s="10"/>
      <c r="BE18" s="10"/>
      <c r="BH18" s="10"/>
      <c r="BI18" s="10"/>
      <c r="BL18" s="10"/>
      <c r="BM18" s="10"/>
      <c r="BN18">
        <f>SUMIFS($D18:$BM18,$D$9:$BM$9,$H$1)</f>
        <v>0</v>
      </c>
      <c r="BO18">
        <f>SUMIFS($D18:$BM18,$D$9:$BM$9,$H$2)</f>
        <v>0</v>
      </c>
      <c r="BP18">
        <f>BN18-BO18</f>
        <v>0</v>
      </c>
    </row>
    <row r="19" spans="2:68">
      <c r="B19" s="6" t="s">
        <v>33</v>
      </c>
      <c r="C19" s="6" t="s">
        <v>34</v>
      </c>
      <c r="D19" s="10"/>
      <c r="E19" s="10"/>
      <c r="H19" s="10"/>
      <c r="I19" s="10"/>
      <c r="L19" s="10"/>
      <c r="M19" s="10"/>
      <c r="P19" s="10"/>
      <c r="Q19" s="10"/>
      <c r="T19" s="10"/>
      <c r="U19" s="10"/>
      <c r="X19" s="10"/>
      <c r="Y19" s="10"/>
      <c r="AB19" s="10"/>
      <c r="AC19" s="10"/>
      <c r="AF19" s="10"/>
      <c r="AG19" s="10"/>
      <c r="AJ19" s="10"/>
      <c r="AK19" s="10"/>
      <c r="AN19" s="10"/>
      <c r="AO19" s="10"/>
      <c r="AR19" s="10"/>
      <c r="AS19" s="10"/>
      <c r="AV19" s="10"/>
      <c r="AW19" s="10"/>
      <c r="AZ19" s="10"/>
      <c r="BA19" s="10"/>
      <c r="BD19" s="10"/>
      <c r="BE19" s="10"/>
      <c r="BH19" s="10"/>
      <c r="BI19" s="10"/>
      <c r="BL19" s="10"/>
      <c r="BM19" s="10"/>
      <c r="BN19">
        <f>SUMIFS($D19:$BM19,$D$9:$BM$9,$H$1)</f>
        <v>0</v>
      </c>
      <c r="BO19">
        <f>SUMIFS($D19:$BM19,$D$9:$BM$9,$H$2)</f>
        <v>0</v>
      </c>
      <c r="BP19">
        <f>BN19-BO19</f>
        <v>0</v>
      </c>
    </row>
    <row r="20" spans="2:68">
      <c r="B20" s="6" t="s">
        <v>35</v>
      </c>
      <c r="C20" s="6" t="s">
        <v>36</v>
      </c>
      <c r="D20" s="10"/>
      <c r="E20" s="15"/>
      <c r="F20" s="9"/>
      <c r="G20" s="9"/>
      <c r="H20" s="15"/>
      <c r="I20" s="15"/>
      <c r="J20" s="9"/>
      <c r="K20" s="9"/>
      <c r="L20" s="15"/>
      <c r="M20" s="15"/>
      <c r="N20" s="9"/>
      <c r="O20" s="9"/>
      <c r="P20" s="15"/>
      <c r="Q20" s="15"/>
      <c r="R20" s="9"/>
      <c r="S20" s="9"/>
      <c r="T20" s="15"/>
      <c r="U20" s="15"/>
      <c r="V20" s="9"/>
      <c r="W20" s="9"/>
      <c r="X20" s="15"/>
      <c r="Y20" s="15"/>
      <c r="Z20" s="9"/>
      <c r="AA20" s="9"/>
      <c r="AB20" s="15"/>
      <c r="AC20" s="15"/>
      <c r="AD20" s="9"/>
      <c r="AE20" s="9"/>
      <c r="AF20" s="15"/>
      <c r="AG20" s="15"/>
      <c r="AH20" s="9"/>
      <c r="AI20" s="9"/>
      <c r="AJ20" s="15"/>
      <c r="AK20" s="15"/>
      <c r="AL20" s="9"/>
      <c r="AM20" s="9"/>
      <c r="AN20" s="15"/>
      <c r="AO20" s="15"/>
      <c r="AP20" s="9"/>
      <c r="AQ20" s="9"/>
      <c r="AR20" s="15"/>
      <c r="AS20" s="15"/>
      <c r="AT20" s="9"/>
      <c r="AU20" s="9"/>
      <c r="AV20" s="15"/>
      <c r="AW20" s="15"/>
      <c r="AX20" s="9"/>
      <c r="AY20" s="9"/>
      <c r="AZ20" s="15"/>
      <c r="BA20" s="15"/>
      <c r="BB20" s="9"/>
      <c r="BC20" s="9"/>
      <c r="BD20" s="15"/>
      <c r="BE20" s="15"/>
      <c r="BF20" s="9"/>
      <c r="BG20" s="9"/>
      <c r="BH20" s="15"/>
      <c r="BI20" s="15"/>
      <c r="BJ20" s="9"/>
      <c r="BK20" s="9"/>
      <c r="BL20" s="15"/>
      <c r="BM20" s="10"/>
      <c r="BN20">
        <f>SUMIFS($D20:$BM20,$D$9:$BM$9,$H$1)</f>
        <v>0</v>
      </c>
      <c r="BO20">
        <f>SUMIFS($D20:$BM20,$D$9:$BM$9,$H$2)</f>
        <v>0</v>
      </c>
      <c r="BP20">
        <f>BN20-BO20</f>
        <v>0</v>
      </c>
    </row>
    <row r="21" spans="2:68">
      <c r="B21" s="6" t="s">
        <v>37</v>
      </c>
      <c r="C21" s="6" t="s">
        <v>38</v>
      </c>
      <c r="D21" s="10"/>
      <c r="E21" s="10"/>
      <c r="H21" s="10"/>
      <c r="I21" s="10"/>
      <c r="L21" s="10"/>
      <c r="M21" s="10"/>
      <c r="P21" s="10"/>
      <c r="Q21" s="10"/>
      <c r="T21" s="10"/>
      <c r="U21" s="10"/>
      <c r="X21" s="10"/>
      <c r="Y21" s="10"/>
      <c r="AB21" s="10"/>
      <c r="AC21" s="10"/>
      <c r="AF21" s="10"/>
      <c r="AG21" s="10"/>
      <c r="AJ21" s="10"/>
      <c r="AK21" s="10"/>
      <c r="AN21" s="10"/>
      <c r="AO21" s="10"/>
      <c r="AR21" s="10"/>
      <c r="AS21" s="10"/>
      <c r="AV21" s="10"/>
      <c r="AW21" s="10"/>
      <c r="AZ21" s="10"/>
      <c r="BA21" s="10"/>
      <c r="BD21" s="10"/>
      <c r="BE21" s="10"/>
      <c r="BH21" s="10"/>
      <c r="BI21" s="10"/>
      <c r="BL21" s="10"/>
      <c r="BM21" s="10"/>
      <c r="BN21">
        <f>SUMIFS($D21:$BM21,$D$9:$BM$9,$H$1)</f>
        <v>0</v>
      </c>
      <c r="BO21">
        <f>SUMIFS($D21:$BM21,$D$9:$BM$9,$H$2)</f>
        <v>0</v>
      </c>
      <c r="BP21">
        <f>BN21-BO21</f>
        <v>0</v>
      </c>
    </row>
    <row r="22" spans="2:68">
      <c r="B22" s="6" t="s">
        <v>39</v>
      </c>
      <c r="C22" s="6" t="s">
        <v>40</v>
      </c>
      <c r="D22" s="10"/>
      <c r="E22" s="10"/>
      <c r="H22" s="10"/>
      <c r="I22" s="10"/>
      <c r="L22" s="10"/>
      <c r="M22" s="10"/>
      <c r="P22" s="10"/>
      <c r="Q22" s="10"/>
      <c r="T22" s="10"/>
      <c r="U22" s="10"/>
      <c r="X22" s="10"/>
      <c r="Y22" s="10"/>
      <c r="AB22" s="10"/>
      <c r="AC22" s="10"/>
      <c r="AF22" s="10"/>
      <c r="AG22" s="10"/>
      <c r="AJ22" s="10"/>
      <c r="AK22" s="10"/>
      <c r="AN22" s="10"/>
      <c r="AO22" s="10"/>
      <c r="AR22" s="10"/>
      <c r="AS22" s="10"/>
      <c r="AV22" s="10"/>
      <c r="AW22" s="10"/>
      <c r="AZ22" s="10"/>
      <c r="BA22" s="10"/>
      <c r="BD22" s="10"/>
      <c r="BE22" s="10"/>
      <c r="BH22" s="10"/>
      <c r="BI22" s="10"/>
      <c r="BL22" s="10"/>
      <c r="BM22" s="10"/>
      <c r="BN22">
        <f>SUMIFS($D22:$BM22,$D$9:$BM$9,$H$1)</f>
        <v>0</v>
      </c>
      <c r="BO22">
        <f>SUMIFS($D22:$BM22,$D$9:$BM$9,$H$2)</f>
        <v>0</v>
      </c>
      <c r="BP22">
        <f>BN22-BO22</f>
        <v>0</v>
      </c>
    </row>
    <row r="23" spans="2:68">
      <c r="B23" s="6" t="s">
        <v>41</v>
      </c>
      <c r="C23" s="6" t="s">
        <v>42</v>
      </c>
      <c r="D23" s="10"/>
      <c r="E23" s="10"/>
      <c r="H23" s="10"/>
      <c r="I23" s="10"/>
      <c r="L23" s="10"/>
      <c r="M23" s="10"/>
      <c r="P23" s="10"/>
      <c r="Q23" s="10"/>
      <c r="T23" s="10"/>
      <c r="U23" s="10"/>
      <c r="X23" s="10"/>
      <c r="Y23" s="10"/>
      <c r="AB23" s="10"/>
      <c r="AC23" s="10"/>
      <c r="AF23" s="10"/>
      <c r="AG23" s="10"/>
      <c r="AJ23" s="10"/>
      <c r="AK23" s="10"/>
      <c r="AN23" s="10"/>
      <c r="AO23" s="10"/>
      <c r="AR23" s="10"/>
      <c r="AS23" s="10"/>
      <c r="AV23" s="10"/>
      <c r="AW23" s="10"/>
      <c r="AZ23" s="10"/>
      <c r="BA23" s="10"/>
      <c r="BD23" s="10"/>
      <c r="BE23" s="10"/>
      <c r="BH23" s="10"/>
      <c r="BI23" s="10"/>
      <c r="BL23" s="10"/>
      <c r="BM23" s="10"/>
      <c r="BN23">
        <f>SUMIFS($D23:$BM23,$D$9:$BM$9,$H$1)</f>
        <v>0</v>
      </c>
      <c r="BO23">
        <f>SUMIFS($D23:$BM23,$D$9:$BM$9,$H$2)</f>
        <v>0</v>
      </c>
      <c r="BP23">
        <f>BN23-BO23</f>
        <v>0</v>
      </c>
    </row>
    <row r="24" spans="2:68">
      <c r="B24" s="6" t="s">
        <v>43</v>
      </c>
      <c r="C24" s="6" t="s">
        <v>44</v>
      </c>
      <c r="D24" s="10"/>
      <c r="E24" s="10"/>
      <c r="H24" s="10"/>
      <c r="I24" s="10"/>
      <c r="L24" s="10"/>
      <c r="M24" s="10"/>
      <c r="P24" s="10"/>
      <c r="Q24" s="10"/>
      <c r="T24" s="10"/>
      <c r="U24" s="10"/>
      <c r="X24" s="10"/>
      <c r="Y24" s="10"/>
      <c r="AB24" s="10"/>
      <c r="AC24" s="10"/>
      <c r="AF24" s="10"/>
      <c r="AG24" s="10"/>
      <c r="AJ24" s="10"/>
      <c r="AK24" s="10"/>
      <c r="AN24" s="10"/>
      <c r="AO24" s="10"/>
      <c r="AR24" s="10"/>
      <c r="AS24" s="10"/>
      <c r="AV24" s="10"/>
      <c r="AW24" s="10"/>
      <c r="AZ24" s="10"/>
      <c r="BA24" s="10"/>
      <c r="BD24" s="10"/>
      <c r="BE24" s="10"/>
      <c r="BH24" s="10"/>
      <c r="BI24" s="10"/>
      <c r="BL24" s="10"/>
      <c r="BM24" s="10"/>
      <c r="BN24">
        <f>SUMIFS($D24:$BM24,$D$9:$BM$9,$H$1)</f>
        <v>0</v>
      </c>
      <c r="BO24">
        <f>SUMIFS($D24:$BM24,$D$9:$BM$9,$H$2)</f>
        <v>0</v>
      </c>
      <c r="BP24">
        <f>BN24-BO24</f>
        <v>0</v>
      </c>
    </row>
    <row r="25" spans="2:68">
      <c r="B25" s="6" t="s">
        <v>45</v>
      </c>
      <c r="C25" s="6" t="s">
        <v>46</v>
      </c>
      <c r="D25" s="10"/>
      <c r="E25" s="10"/>
      <c r="H25" s="10"/>
      <c r="I25" s="10"/>
      <c r="L25" s="10"/>
      <c r="M25" s="10"/>
      <c r="P25" s="10"/>
      <c r="Q25" s="10"/>
      <c r="T25" s="10"/>
      <c r="U25" s="10"/>
      <c r="X25" s="10"/>
      <c r="Y25" s="10"/>
      <c r="AB25" s="10"/>
      <c r="AC25" s="10"/>
      <c r="AF25" s="10"/>
      <c r="AG25" s="10"/>
      <c r="AJ25" s="10"/>
      <c r="AK25" s="10"/>
      <c r="AN25" s="10"/>
      <c r="AO25" s="10"/>
      <c r="AR25" s="10"/>
      <c r="AS25" s="10"/>
      <c r="AV25" s="10"/>
      <c r="AW25" s="10"/>
      <c r="AZ25" s="10"/>
      <c r="BA25" s="10"/>
      <c r="BD25" s="10"/>
      <c r="BE25" s="10"/>
      <c r="BH25" s="10"/>
      <c r="BI25" s="10"/>
      <c r="BL25" s="10"/>
      <c r="BM25" s="10"/>
      <c r="BN25">
        <f>SUMIFS($D25:$BM25,$D$9:$BM$9,$H$1)</f>
        <v>0</v>
      </c>
      <c r="BO25">
        <f>SUMIFS($D25:$BM25,$D$9:$BM$9,$H$2)</f>
        <v>0</v>
      </c>
      <c r="BP25">
        <f>BN25-BO25</f>
        <v>0</v>
      </c>
    </row>
    <row r="26" spans="2:68">
      <c r="B26" s="6" t="s">
        <v>47</v>
      </c>
      <c r="C26" s="6" t="s">
        <v>48</v>
      </c>
      <c r="D26" s="10"/>
      <c r="E26" s="10"/>
      <c r="H26" s="10"/>
      <c r="I26" s="10"/>
      <c r="L26" s="10"/>
      <c r="M26" s="10"/>
      <c r="P26" s="10"/>
      <c r="Q26" s="10"/>
      <c r="T26" s="10"/>
      <c r="U26" s="10"/>
      <c r="X26" s="10"/>
      <c r="Y26" s="10"/>
      <c r="AB26" s="10"/>
      <c r="AC26" s="10"/>
      <c r="AF26" s="10"/>
      <c r="AG26" s="10"/>
      <c r="AJ26" s="10"/>
      <c r="AK26" s="10"/>
      <c r="AN26" s="10"/>
      <c r="AO26" s="10"/>
      <c r="AR26" s="10"/>
      <c r="AS26" s="10"/>
      <c r="AV26" s="10"/>
      <c r="AW26" s="10"/>
      <c r="AZ26" s="10"/>
      <c r="BA26" s="10"/>
      <c r="BD26" s="10"/>
      <c r="BE26" s="10"/>
      <c r="BH26" s="10"/>
      <c r="BI26" s="10"/>
      <c r="BL26" s="10"/>
      <c r="BM26" s="10"/>
      <c r="BN26">
        <f>SUMIFS($D26:$BM26,$D$9:$BM$9,$H$1)</f>
        <v>0</v>
      </c>
      <c r="BO26">
        <f>SUMIFS($D26:$BM26,$D$9:$BM$9,$H$2)</f>
        <v>0</v>
      </c>
      <c r="BP26">
        <f>BN26-BO26</f>
        <v>0</v>
      </c>
    </row>
    <row r="27" spans="2:68">
      <c r="B27" s="6" t="s">
        <v>49</v>
      </c>
      <c r="C27" s="6" t="s">
        <v>50</v>
      </c>
      <c r="D27" s="10"/>
      <c r="E27" s="10"/>
      <c r="H27" s="10"/>
      <c r="I27" s="10"/>
      <c r="L27" s="10"/>
      <c r="M27" s="10"/>
      <c r="P27" s="10"/>
      <c r="Q27" s="10"/>
      <c r="T27" s="10"/>
      <c r="U27" s="10"/>
      <c r="X27" s="10"/>
      <c r="Y27" s="10"/>
      <c r="AB27" s="10"/>
      <c r="AC27" s="10"/>
      <c r="AF27" s="10"/>
      <c r="AG27" s="10"/>
      <c r="AJ27" s="10"/>
      <c r="AK27" s="10"/>
      <c r="AN27" s="10"/>
      <c r="AO27" s="10"/>
      <c r="AR27" s="10"/>
      <c r="AS27" s="10"/>
      <c r="AV27" s="10"/>
      <c r="AW27" s="10"/>
      <c r="AZ27" s="10"/>
      <c r="BA27" s="10"/>
      <c r="BD27" s="10"/>
      <c r="BE27" s="10"/>
      <c r="BH27" s="10"/>
      <c r="BI27" s="10"/>
      <c r="BL27" s="10"/>
      <c r="BM27" s="10"/>
      <c r="BN27">
        <f>SUMIFS($D27:$BM27,$D$9:$BM$9,$H$1)</f>
        <v>0</v>
      </c>
      <c r="BO27">
        <f>SUMIFS($D27:$BM27,$D$9:$BM$9,$H$2)</f>
        <v>0</v>
      </c>
      <c r="BP27">
        <f>BN27-BO27</f>
        <v>0</v>
      </c>
    </row>
    <row r="28" spans="2:68">
      <c r="B28" s="6" t="s">
        <v>51</v>
      </c>
      <c r="C28" s="6" t="s">
        <v>50</v>
      </c>
      <c r="D28" s="10"/>
      <c r="E28" s="10"/>
      <c r="H28" s="10"/>
      <c r="I28" s="10"/>
      <c r="L28" s="10"/>
      <c r="M28" s="10"/>
      <c r="P28" s="10"/>
      <c r="Q28" s="10"/>
      <c r="T28" s="10"/>
      <c r="U28" s="10"/>
      <c r="X28" s="10"/>
      <c r="Y28" s="10"/>
      <c r="AB28" s="10"/>
      <c r="AC28" s="10"/>
      <c r="AF28" s="10"/>
      <c r="AG28" s="10"/>
      <c r="AJ28" s="10"/>
      <c r="AK28" s="10"/>
      <c r="AN28" s="10"/>
      <c r="AO28" s="10"/>
      <c r="AR28" s="10"/>
      <c r="AS28" s="10"/>
      <c r="AV28" s="10"/>
      <c r="AW28" s="10"/>
      <c r="AZ28" s="10"/>
      <c r="BA28" s="10"/>
      <c r="BD28" s="10"/>
      <c r="BE28" s="10"/>
      <c r="BH28" s="10"/>
      <c r="BI28" s="10"/>
      <c r="BL28" s="10"/>
      <c r="BM28" s="10"/>
      <c r="BN28">
        <f>SUMIFS($D28:$BM28,$D$9:$BM$9,$H$1)</f>
        <v>0</v>
      </c>
      <c r="BO28">
        <f>SUMIFS($D28:$BM28,$D$9:$BM$9,$H$2)</f>
        <v>0</v>
      </c>
      <c r="BP28">
        <f>BN28-BO28</f>
        <v>0</v>
      </c>
    </row>
    <row r="29" spans="2:68">
      <c r="B29" s="6" t="s">
        <v>52</v>
      </c>
      <c r="C29" s="6" t="s">
        <v>50</v>
      </c>
      <c r="D29" s="10"/>
      <c r="E29" s="15"/>
      <c r="F29" s="9"/>
      <c r="G29" s="9"/>
      <c r="H29" s="15"/>
      <c r="I29" s="15"/>
      <c r="J29" s="9"/>
      <c r="K29" s="9"/>
      <c r="L29" s="15"/>
      <c r="M29" s="15"/>
      <c r="N29" s="9"/>
      <c r="O29" s="9"/>
      <c r="P29" s="15"/>
      <c r="Q29" s="15"/>
      <c r="R29" s="9"/>
      <c r="S29" s="9"/>
      <c r="T29" s="15"/>
      <c r="U29" s="15"/>
      <c r="V29" s="9"/>
      <c r="W29" s="9"/>
      <c r="X29" s="15"/>
      <c r="Y29" s="15"/>
      <c r="Z29" s="9"/>
      <c r="AA29" s="9"/>
      <c r="AB29" s="15"/>
      <c r="AC29" s="15"/>
      <c r="AD29" s="9"/>
      <c r="AE29" s="9"/>
      <c r="AF29" s="15"/>
      <c r="AG29" s="15"/>
      <c r="AH29" s="9"/>
      <c r="AI29" s="9"/>
      <c r="AJ29" s="15"/>
      <c r="AK29" s="15"/>
      <c r="AL29" s="9"/>
      <c r="AM29" s="9"/>
      <c r="AN29" s="15"/>
      <c r="AO29" s="15"/>
      <c r="AP29" s="9"/>
      <c r="AQ29" s="9"/>
      <c r="AR29" s="15"/>
      <c r="AS29" s="15"/>
      <c r="AT29" s="9"/>
      <c r="AU29" s="9"/>
      <c r="AV29" s="15"/>
      <c r="AW29" s="15"/>
      <c r="AX29" s="9"/>
      <c r="AY29" s="9"/>
      <c r="AZ29" s="15"/>
      <c r="BA29" s="15"/>
      <c r="BB29" s="9"/>
      <c r="BC29" s="9"/>
      <c r="BD29" s="15"/>
      <c r="BE29" s="15"/>
      <c r="BF29" s="9"/>
      <c r="BG29" s="9"/>
      <c r="BH29" s="15"/>
      <c r="BI29" s="15"/>
      <c r="BJ29" s="9"/>
      <c r="BK29" s="9"/>
      <c r="BL29" s="15"/>
      <c r="BM29" s="10"/>
      <c r="BN29">
        <f>SUMIFS($D29:$BM29,$D$9:$BM$9,$H$1)</f>
        <v>0</v>
      </c>
      <c r="BO29">
        <f>SUMIFS($D29:$BM29,$D$9:$BM$9,$H$2)</f>
        <v>0</v>
      </c>
      <c r="BP29">
        <f>BN29-BO29</f>
        <v>0</v>
      </c>
    </row>
    <row r="30" spans="2:68">
      <c r="B30" s="6" t="s">
        <v>53</v>
      </c>
      <c r="C30" s="6" t="s">
        <v>54</v>
      </c>
      <c r="D30" s="10"/>
      <c r="E30" s="10"/>
      <c r="H30" s="10"/>
      <c r="I30" s="10"/>
      <c r="L30" s="10"/>
      <c r="M30" s="10"/>
      <c r="P30" s="10"/>
      <c r="Q30" s="10"/>
      <c r="T30" s="10"/>
      <c r="U30" s="10"/>
      <c r="X30" s="10"/>
      <c r="Y30" s="10"/>
      <c r="AB30" s="10"/>
      <c r="AC30" s="10"/>
      <c r="AF30" s="10"/>
      <c r="AG30" s="10"/>
      <c r="AJ30" s="10"/>
      <c r="AK30" s="10"/>
      <c r="AN30" s="10"/>
      <c r="AO30" s="10"/>
      <c r="AR30" s="10"/>
      <c r="AS30" s="10"/>
      <c r="AV30" s="10"/>
      <c r="AW30" s="10"/>
      <c r="AZ30" s="10"/>
      <c r="BA30" s="10"/>
      <c r="BD30" s="10"/>
      <c r="BE30" s="10"/>
      <c r="BH30" s="10"/>
      <c r="BI30" s="10"/>
      <c r="BL30" s="10"/>
      <c r="BM30" s="10"/>
      <c r="BN30">
        <f>SUMIFS($D30:$BM30,$D$9:$BM$9,$H$1)</f>
        <v>0</v>
      </c>
      <c r="BO30">
        <f>SUMIFS($D30:$BM30,$D$9:$BM$9,$H$2)</f>
        <v>0</v>
      </c>
      <c r="BP30">
        <f>BN30-BO30</f>
        <v>0</v>
      </c>
    </row>
    <row r="31" spans="2:68">
      <c r="B31" s="6" t="s">
        <v>55</v>
      </c>
      <c r="C31" s="6" t="s">
        <v>56</v>
      </c>
      <c r="D31" s="10"/>
      <c r="E31" s="10"/>
      <c r="H31" s="10"/>
      <c r="I31" s="10"/>
      <c r="L31" s="10"/>
      <c r="M31" s="10"/>
      <c r="P31" s="10"/>
      <c r="Q31" s="10"/>
      <c r="T31" s="10"/>
      <c r="U31" s="10"/>
      <c r="X31" s="10"/>
      <c r="Y31" s="10"/>
      <c r="AB31" s="10"/>
      <c r="AC31" s="10"/>
      <c r="AF31" s="10"/>
      <c r="AG31" s="10"/>
      <c r="AJ31" s="10"/>
      <c r="AK31" s="10"/>
      <c r="AN31" s="10"/>
      <c r="AO31" s="10"/>
      <c r="AR31" s="10"/>
      <c r="AS31" s="10"/>
      <c r="AV31" s="10"/>
      <c r="AW31" s="10"/>
      <c r="AZ31" s="10"/>
      <c r="BA31" s="10"/>
      <c r="BD31" s="10"/>
      <c r="BE31" s="10"/>
      <c r="BH31" s="10"/>
      <c r="BI31" s="10"/>
      <c r="BL31" s="10"/>
      <c r="BM31" s="10"/>
      <c r="BN31">
        <f>SUMIFS($D31:$BM31,$D$9:$BM$9,$H$1)</f>
        <v>0</v>
      </c>
      <c r="BO31">
        <f>SUMIFS($D31:$BM31,$D$9:$BM$9,$H$2)</f>
        <v>0</v>
      </c>
      <c r="BP31">
        <f>BN31-BO31</f>
        <v>0</v>
      </c>
    </row>
    <row r="32" spans="2:68">
      <c r="B32" s="6" t="s">
        <v>57</v>
      </c>
      <c r="C32" s="6" t="s">
        <v>56</v>
      </c>
      <c r="D32" s="10"/>
      <c r="E32" s="10"/>
      <c r="H32" s="10"/>
      <c r="I32" s="10"/>
      <c r="L32" s="10"/>
      <c r="M32" s="10"/>
      <c r="P32" s="10"/>
      <c r="Q32" s="10"/>
      <c r="T32" s="10"/>
      <c r="U32" s="10"/>
      <c r="X32" s="10"/>
      <c r="Y32" s="10"/>
      <c r="AB32" s="10"/>
      <c r="AC32" s="10"/>
      <c r="AF32" s="10"/>
      <c r="AG32" s="10"/>
      <c r="AJ32" s="10"/>
      <c r="AK32" s="10"/>
      <c r="AN32" s="10"/>
      <c r="AO32" s="10"/>
      <c r="AR32" s="10"/>
      <c r="AS32" s="10"/>
      <c r="AV32" s="10"/>
      <c r="AW32" s="10"/>
      <c r="AZ32" s="10"/>
      <c r="BA32" s="10"/>
      <c r="BD32" s="10"/>
      <c r="BE32" s="10"/>
      <c r="BH32" s="10"/>
      <c r="BI32" s="10"/>
      <c r="BL32" s="10"/>
      <c r="BM32" s="10"/>
      <c r="BN32">
        <f>SUMIFS($D32:$BM32,$D$9:$BM$9,$H$1)</f>
        <v>0</v>
      </c>
      <c r="BO32">
        <f>SUMIFS($D32:$BM32,$D$9:$BM$9,$H$2)</f>
        <v>0</v>
      </c>
      <c r="BP32">
        <f>BN32-BO32</f>
        <v>0</v>
      </c>
    </row>
    <row r="33" spans="2:68">
      <c r="B33" s="6" t="s">
        <v>58</v>
      </c>
      <c r="C33" s="6" t="s">
        <v>56</v>
      </c>
      <c r="D33" s="10"/>
      <c r="E33" s="10"/>
      <c r="H33" s="10"/>
      <c r="I33" s="10"/>
      <c r="L33" s="10"/>
      <c r="M33" s="10"/>
      <c r="P33" s="10"/>
      <c r="Q33" s="10"/>
      <c r="T33" s="10"/>
      <c r="U33" s="10"/>
      <c r="X33" s="10"/>
      <c r="Y33" s="10"/>
      <c r="AB33" s="10"/>
      <c r="AC33" s="10"/>
      <c r="AF33" s="10"/>
      <c r="AG33" s="10"/>
      <c r="AJ33" s="10"/>
      <c r="AK33" s="10"/>
      <c r="AN33" s="10"/>
      <c r="AO33" s="10"/>
      <c r="AR33" s="10"/>
      <c r="AS33" s="10"/>
      <c r="AV33" s="10"/>
      <c r="AW33" s="10"/>
      <c r="AZ33" s="10"/>
      <c r="BA33" s="10"/>
      <c r="BD33" s="10"/>
      <c r="BE33" s="10"/>
      <c r="BH33" s="10"/>
      <c r="BI33" s="10"/>
      <c r="BL33" s="10"/>
      <c r="BM33" s="10"/>
      <c r="BN33">
        <f>SUMIFS($D33:$BM33,$D$9:$BM$9,$H$1)</f>
        <v>0</v>
      </c>
      <c r="BO33">
        <f>SUMIFS($D33:$BM33,$D$9:$BM$9,$H$2)</f>
        <v>0</v>
      </c>
      <c r="BP33">
        <f>BN33-BO33</f>
        <v>0</v>
      </c>
    </row>
    <row r="34" spans="2:68">
      <c r="B34" s="6" t="s">
        <v>59</v>
      </c>
      <c r="C34" s="6" t="s">
        <v>56</v>
      </c>
      <c r="D34" s="10"/>
      <c r="E34" s="10"/>
      <c r="H34" s="10"/>
      <c r="I34" s="10"/>
      <c r="L34" s="10"/>
      <c r="M34" s="10"/>
      <c r="P34" s="10"/>
      <c r="Q34" s="10"/>
      <c r="T34" s="10"/>
      <c r="U34" s="10"/>
      <c r="X34" s="10"/>
      <c r="Y34" s="10"/>
      <c r="AB34" s="10"/>
      <c r="AC34" s="10"/>
      <c r="AF34" s="10"/>
      <c r="AG34" s="10"/>
      <c r="AJ34" s="10"/>
      <c r="AK34" s="10"/>
      <c r="AN34" s="10"/>
      <c r="AO34" s="10"/>
      <c r="AR34" s="10"/>
      <c r="AS34" s="10"/>
      <c r="AV34" s="10"/>
      <c r="AW34" s="10"/>
      <c r="AZ34" s="10"/>
      <c r="BA34" s="10"/>
      <c r="BD34" s="10"/>
      <c r="BE34" s="10"/>
      <c r="BH34" s="10"/>
      <c r="BI34" s="10"/>
      <c r="BL34" s="10"/>
      <c r="BM34" s="10"/>
      <c r="BN34">
        <f>SUMIFS($D34:$BM34,$D$9:$BM$9,$H$1)</f>
        <v>0</v>
      </c>
      <c r="BO34">
        <f>SUMIFS($D34:$BM34,$D$9:$BM$9,$H$2)</f>
        <v>0</v>
      </c>
      <c r="BP34">
        <f>BN34-BO34</f>
        <v>0</v>
      </c>
    </row>
    <row r="35" spans="2:68">
      <c r="B35" s="6" t="s">
        <v>60</v>
      </c>
      <c r="C35" s="6" t="s">
        <v>61</v>
      </c>
      <c r="D35" s="10"/>
      <c r="E35" s="10"/>
      <c r="H35" s="10"/>
      <c r="I35" s="10"/>
      <c r="L35" s="10"/>
      <c r="M35" s="10"/>
      <c r="P35" s="10"/>
      <c r="Q35" s="10"/>
      <c r="T35" s="10"/>
      <c r="U35" s="10"/>
      <c r="X35" s="10"/>
      <c r="Y35" s="10"/>
      <c r="AB35" s="10"/>
      <c r="AC35" s="10"/>
      <c r="AF35" s="10"/>
      <c r="AG35" s="10"/>
      <c r="AJ35" s="10"/>
      <c r="AK35" s="10"/>
      <c r="AN35" s="10"/>
      <c r="AO35" s="10"/>
      <c r="AR35" s="10"/>
      <c r="AS35" s="10"/>
      <c r="AV35" s="10"/>
      <c r="AW35" s="10"/>
      <c r="AZ35" s="10"/>
      <c r="BA35" s="10"/>
      <c r="BD35" s="10"/>
      <c r="BE35" s="10"/>
      <c r="BH35" s="10"/>
      <c r="BI35" s="10"/>
      <c r="BL35" s="10"/>
      <c r="BM35" s="10"/>
      <c r="BN35">
        <f>SUMIFS($D35:$BM35,$D$9:$BM$9,$H$1)</f>
        <v>0</v>
      </c>
      <c r="BO35">
        <f>SUMIFS($D35:$BM35,$D$9:$BM$9,$H$2)</f>
        <v>0</v>
      </c>
      <c r="BP35">
        <f>BN35-BO35</f>
        <v>0</v>
      </c>
    </row>
    <row r="36" spans="2:68">
      <c r="B36" s="6" t="s">
        <v>62</v>
      </c>
      <c r="C36" s="6" t="s">
        <v>63</v>
      </c>
      <c r="D36" s="10"/>
      <c r="E36" s="10"/>
      <c r="H36" s="10"/>
      <c r="I36" s="10"/>
      <c r="L36" s="10"/>
      <c r="M36" s="10"/>
      <c r="P36" s="10"/>
      <c r="Q36" s="10"/>
      <c r="T36" s="10"/>
      <c r="U36" s="10"/>
      <c r="X36" s="10"/>
      <c r="Y36" s="10"/>
      <c r="AB36" s="10"/>
      <c r="AC36" s="10"/>
      <c r="AF36" s="10"/>
      <c r="AG36" s="10"/>
      <c r="AJ36" s="10"/>
      <c r="AK36" s="10"/>
      <c r="AN36" s="10"/>
      <c r="AO36" s="10"/>
      <c r="AR36" s="10"/>
      <c r="AS36" s="10"/>
      <c r="AV36" s="10"/>
      <c r="AW36" s="10"/>
      <c r="AZ36" s="10"/>
      <c r="BA36" s="10"/>
      <c r="BD36" s="10"/>
      <c r="BE36" s="10"/>
      <c r="BH36" s="10"/>
      <c r="BI36" s="10"/>
      <c r="BL36" s="10"/>
      <c r="BM36" s="10"/>
      <c r="BN36">
        <f>SUMIFS($D36:$BM36,$D$9:$BM$9,$H$1)</f>
        <v>0</v>
      </c>
      <c r="BO36">
        <f>SUMIFS($D36:$BM36,$D$9:$BM$9,$H$2)</f>
        <v>0</v>
      </c>
      <c r="BP36">
        <f>BN36-BO36</f>
        <v>0</v>
      </c>
    </row>
    <row r="37" spans="2:68">
      <c r="B37" s="6" t="s">
        <v>64</v>
      </c>
      <c r="C37" s="6" t="s">
        <v>63</v>
      </c>
      <c r="D37" s="10"/>
      <c r="E37" s="10"/>
      <c r="H37" s="10"/>
      <c r="I37" s="10"/>
      <c r="L37" s="10"/>
      <c r="M37" s="10"/>
      <c r="P37" s="10"/>
      <c r="Q37" s="10"/>
      <c r="T37" s="10"/>
      <c r="U37" s="10"/>
      <c r="X37" s="10"/>
      <c r="Y37" s="10"/>
      <c r="AB37" s="10"/>
      <c r="AC37" s="10"/>
      <c r="AF37" s="10"/>
      <c r="AG37" s="10"/>
      <c r="AJ37" s="10"/>
      <c r="AK37" s="10"/>
      <c r="AN37" s="10"/>
      <c r="AO37" s="10"/>
      <c r="AR37" s="10"/>
      <c r="AS37" s="10"/>
      <c r="AV37" s="10"/>
      <c r="AW37" s="10"/>
      <c r="AZ37" s="10"/>
      <c r="BA37" s="10"/>
      <c r="BD37" s="10"/>
      <c r="BE37" s="10"/>
      <c r="BH37" s="10"/>
      <c r="BI37" s="10"/>
      <c r="BL37" s="10"/>
      <c r="BM37" s="10"/>
      <c r="BN37">
        <f>SUMIFS($D37:$BM37,$D$9:$BM$9,$H$1)</f>
        <v>0</v>
      </c>
      <c r="BO37">
        <f>SUMIFS($D37:$BM37,$D$9:$BM$9,$H$2)</f>
        <v>0</v>
      </c>
      <c r="BP37">
        <f>BN37-BO37</f>
        <v>0</v>
      </c>
    </row>
    <row r="38" spans="2:68">
      <c r="B38" s="6" t="s">
        <v>65</v>
      </c>
      <c r="C38" s="6" t="s">
        <v>66</v>
      </c>
      <c r="D38" s="10"/>
      <c r="E38" s="10"/>
      <c r="H38" s="10"/>
      <c r="I38" s="10"/>
      <c r="L38" s="10"/>
      <c r="M38" s="10"/>
      <c r="P38" s="10"/>
      <c r="Q38" s="10"/>
      <c r="T38" s="10"/>
      <c r="U38" s="10"/>
      <c r="X38" s="10"/>
      <c r="Y38" s="10"/>
      <c r="AB38" s="10"/>
      <c r="AC38" s="10"/>
      <c r="AF38" s="10"/>
      <c r="AG38" s="10"/>
      <c r="AJ38" s="10"/>
      <c r="AK38" s="10"/>
      <c r="AN38" s="10"/>
      <c r="AO38" s="10"/>
      <c r="AR38" s="10"/>
      <c r="AS38" s="10"/>
      <c r="AV38" s="10"/>
      <c r="AW38" s="10"/>
      <c r="AZ38" s="10"/>
      <c r="BA38" s="10"/>
      <c r="BD38" s="10"/>
      <c r="BE38" s="10"/>
      <c r="BH38" s="10"/>
      <c r="BI38" s="10"/>
      <c r="BL38" s="10"/>
      <c r="BM38" s="10"/>
      <c r="BN38">
        <f>SUMIFS($D38:$BM38,$D$9:$BM$9,$H$1)</f>
        <v>0</v>
      </c>
      <c r="BO38">
        <f>SUMIFS($D38:$BM38,$D$9:$BM$9,$H$2)</f>
        <v>0</v>
      </c>
      <c r="BP38">
        <f>BN38-BO38</f>
        <v>0</v>
      </c>
    </row>
    <row r="39" spans="2:68">
      <c r="B39" s="6" t="s">
        <v>67</v>
      </c>
      <c r="C39" s="6" t="s">
        <v>68</v>
      </c>
      <c r="D39" s="10"/>
      <c r="E39" s="10"/>
      <c r="H39" s="10"/>
      <c r="I39" s="10"/>
      <c r="L39" s="10"/>
      <c r="M39" s="10"/>
      <c r="P39" s="10"/>
      <c r="Q39" s="10"/>
      <c r="T39" s="10"/>
      <c r="U39" s="10"/>
      <c r="X39" s="10"/>
      <c r="Y39" s="10"/>
      <c r="AB39" s="10"/>
      <c r="AC39" s="10"/>
      <c r="AF39" s="10"/>
      <c r="AG39" s="10"/>
      <c r="AJ39" s="10"/>
      <c r="AK39" s="10"/>
      <c r="AN39" s="10"/>
      <c r="AO39" s="10"/>
      <c r="AR39" s="10"/>
      <c r="AS39" s="10"/>
      <c r="AV39" s="10"/>
      <c r="AW39" s="10"/>
      <c r="AZ39" s="10"/>
      <c r="BA39" s="10"/>
      <c r="BD39" s="10"/>
      <c r="BE39" s="10"/>
      <c r="BH39" s="10"/>
      <c r="BI39" s="10"/>
      <c r="BL39" s="10"/>
      <c r="BM39" s="10"/>
      <c r="BN39">
        <f>SUMIFS($D39:$BM39,$D$9:$BM$9,$H$1)</f>
        <v>0</v>
      </c>
      <c r="BO39">
        <f>SUMIFS($D39:$BM39,$D$9:$BM$9,$H$2)</f>
        <v>0</v>
      </c>
      <c r="BP39">
        <f>BN39-BO39</f>
        <v>0</v>
      </c>
    </row>
    <row r="40" spans="2:68">
      <c r="B40" s="6" t="s">
        <v>69</v>
      </c>
      <c r="C40" s="6" t="s">
        <v>70</v>
      </c>
      <c r="D40" s="10"/>
      <c r="E40" s="10"/>
      <c r="H40" s="10"/>
      <c r="I40" s="10"/>
      <c r="L40" s="10"/>
      <c r="M40" s="10"/>
      <c r="P40" s="10"/>
      <c r="Q40" s="10"/>
      <c r="T40" s="10"/>
      <c r="U40" s="10"/>
      <c r="X40" s="10"/>
      <c r="Y40" s="10"/>
      <c r="AB40" s="10"/>
      <c r="AC40" s="10"/>
      <c r="AF40" s="10"/>
      <c r="AG40" s="10"/>
      <c r="AJ40" s="10"/>
      <c r="AK40" s="10"/>
      <c r="AN40" s="10"/>
      <c r="AO40" s="10"/>
      <c r="AR40" s="10"/>
      <c r="AS40" s="10"/>
      <c r="AV40" s="10"/>
      <c r="AW40" s="10"/>
      <c r="AZ40" s="10"/>
      <c r="BA40" s="10"/>
      <c r="BD40" s="10"/>
      <c r="BE40" s="10"/>
      <c r="BH40" s="10"/>
      <c r="BI40" s="10"/>
      <c r="BL40" s="10"/>
      <c r="BM40" s="10"/>
      <c r="BN40">
        <f>SUMIFS($D40:$BM40,$D$9:$BM$9,$H$1)</f>
        <v>0</v>
      </c>
      <c r="BO40">
        <f>SUMIFS($D40:$BM40,$D$9:$BM$9,$H$2)</f>
        <v>0</v>
      </c>
      <c r="BP40">
        <f>BN40-BO40</f>
        <v>0</v>
      </c>
    </row>
    <row r="41" spans="2:68">
      <c r="B41" s="6" t="s">
        <v>71</v>
      </c>
      <c r="C41" s="6" t="s">
        <v>72</v>
      </c>
      <c r="D41" s="10"/>
      <c r="E41" s="10"/>
      <c r="H41" s="10"/>
      <c r="I41" s="10"/>
      <c r="L41" s="10"/>
      <c r="M41" s="10"/>
      <c r="P41" s="10"/>
      <c r="Q41" s="10"/>
      <c r="T41" s="10"/>
      <c r="U41" s="10"/>
      <c r="X41" s="10"/>
      <c r="Y41" s="10"/>
      <c r="AB41" s="10"/>
      <c r="AC41" s="10"/>
      <c r="AF41" s="10"/>
      <c r="AG41" s="10"/>
      <c r="AJ41" s="10"/>
      <c r="AK41" s="10"/>
      <c r="AN41" s="10"/>
      <c r="AO41" s="10"/>
      <c r="AR41" s="10"/>
      <c r="AS41" s="10"/>
      <c r="AV41" s="10"/>
      <c r="AW41" s="10"/>
      <c r="AZ41" s="10"/>
      <c r="BA41" s="10"/>
      <c r="BD41" s="10"/>
      <c r="BE41" s="10"/>
      <c r="BH41" s="10"/>
      <c r="BI41" s="10"/>
      <c r="BL41" s="10"/>
      <c r="BM41" s="10"/>
      <c r="BN41">
        <f>SUMIFS($D41:$BM41,$D$9:$BM$9,$H$1)</f>
        <v>0</v>
      </c>
      <c r="BO41">
        <f>SUMIFS($D41:$BM41,$D$9:$BM$9,$H$2)</f>
        <v>0</v>
      </c>
      <c r="BP41">
        <f>BN41-BO41</f>
        <v>0</v>
      </c>
    </row>
    <row r="42" spans="2:68">
      <c r="B42" s="6" t="s">
        <v>73</v>
      </c>
      <c r="C42" s="6" t="s">
        <v>74</v>
      </c>
      <c r="D42" s="10"/>
      <c r="E42" s="10"/>
      <c r="H42" s="10"/>
      <c r="I42" s="10"/>
      <c r="L42" s="10"/>
      <c r="M42" s="10"/>
      <c r="P42" s="10"/>
      <c r="Q42" s="10"/>
      <c r="T42" s="10"/>
      <c r="U42" s="10"/>
      <c r="X42" s="10"/>
      <c r="Y42" s="10"/>
      <c r="AB42" s="10"/>
      <c r="AC42" s="10"/>
      <c r="AF42" s="10"/>
      <c r="AG42" s="10"/>
      <c r="AJ42" s="10"/>
      <c r="AK42" s="10"/>
      <c r="AN42" s="10"/>
      <c r="AO42" s="10"/>
      <c r="AR42" s="10"/>
      <c r="AS42" s="10"/>
      <c r="AV42" s="10"/>
      <c r="AW42" s="10"/>
      <c r="AZ42" s="10"/>
      <c r="BA42" s="10"/>
      <c r="BD42" s="10"/>
      <c r="BE42" s="10"/>
      <c r="BH42" s="10"/>
      <c r="BI42" s="10"/>
      <c r="BL42" s="10"/>
      <c r="BM42" s="10"/>
      <c r="BN42">
        <f>SUMIFS($D42:$BM42,$D$9:$BM$9,$H$1)</f>
        <v>0</v>
      </c>
      <c r="BO42">
        <f>SUMIFS($D42:$BM42,$D$9:$BM$9,$H$2)</f>
        <v>0</v>
      </c>
      <c r="BP42">
        <f>BN42-BO42</f>
        <v>0</v>
      </c>
    </row>
    <row r="43" spans="2:68">
      <c r="B43" s="6" t="s">
        <v>75</v>
      </c>
      <c r="C43" s="6" t="s">
        <v>76</v>
      </c>
      <c r="D43" s="10"/>
      <c r="E43" s="10"/>
      <c r="H43" s="10"/>
      <c r="I43" s="10"/>
      <c r="L43" s="10"/>
      <c r="M43" s="10"/>
      <c r="P43" s="10"/>
      <c r="Q43" s="10"/>
      <c r="T43" s="10"/>
      <c r="U43" s="10"/>
      <c r="X43" s="10"/>
      <c r="Y43" s="10"/>
      <c r="AB43" s="10"/>
      <c r="AC43" s="10"/>
      <c r="AF43" s="10"/>
      <c r="AG43" s="10"/>
      <c r="AJ43" s="10"/>
      <c r="AK43" s="10"/>
      <c r="AN43" s="10"/>
      <c r="AO43" s="10"/>
      <c r="AR43" s="10"/>
      <c r="AS43" s="10"/>
      <c r="AV43" s="10"/>
      <c r="AW43" s="10"/>
      <c r="AZ43" s="10"/>
      <c r="BA43" s="10"/>
      <c r="BD43" s="10"/>
      <c r="BE43" s="10"/>
      <c r="BH43" s="10"/>
      <c r="BI43" s="10"/>
      <c r="BL43" s="10"/>
      <c r="BM43" s="10"/>
      <c r="BN43">
        <f>SUMIFS($D43:$BM43,$D$9:$BM$9,$H$1)</f>
        <v>0</v>
      </c>
      <c r="BO43">
        <f>SUMIFS($D43:$BM43,$D$9:$BM$9,$H$2)</f>
        <v>0</v>
      </c>
      <c r="BP43">
        <f>BN43-BO43</f>
        <v>0</v>
      </c>
    </row>
    <row r="44" spans="2:68">
      <c r="B44" s="6" t="s">
        <v>77</v>
      </c>
      <c r="C44" s="6" t="s">
        <v>78</v>
      </c>
      <c r="D44" s="10"/>
      <c r="E44" s="10"/>
      <c r="H44" s="10"/>
      <c r="I44" s="10"/>
      <c r="L44" s="10"/>
      <c r="M44" s="10"/>
      <c r="P44" s="10"/>
      <c r="Q44" s="10"/>
      <c r="T44" s="10"/>
      <c r="U44" s="10"/>
      <c r="X44" s="10"/>
      <c r="Y44" s="10"/>
      <c r="AB44" s="10"/>
      <c r="AC44" s="10"/>
      <c r="AF44" s="10"/>
      <c r="AG44" s="10"/>
      <c r="AJ44" s="10"/>
      <c r="AK44" s="10"/>
      <c r="AN44" s="10"/>
      <c r="AO44" s="10"/>
      <c r="AR44" s="10"/>
      <c r="AS44" s="10"/>
      <c r="AV44" s="10"/>
      <c r="AW44" s="10"/>
      <c r="AZ44" s="10"/>
      <c r="BA44" s="10"/>
      <c r="BD44" s="10"/>
      <c r="BE44" s="10"/>
      <c r="BH44" s="10"/>
      <c r="BI44" s="10"/>
      <c r="BL44" s="10"/>
      <c r="BM44" s="10"/>
      <c r="BN44">
        <f>SUMIFS($D44:$BM44,$D$9:$BM$9,$H$1)</f>
        <v>0</v>
      </c>
      <c r="BO44">
        <f>SUMIFS($D44:$BM44,$D$9:$BM$9,$H$2)</f>
        <v>0</v>
      </c>
      <c r="BP44">
        <f>BN44-BO44</f>
        <v>0</v>
      </c>
    </row>
    <row r="45" spans="2:68">
      <c r="B45" s="6" t="s">
        <v>79</v>
      </c>
      <c r="C45" s="6" t="s">
        <v>78</v>
      </c>
      <c r="D45" s="10"/>
      <c r="E45" s="10"/>
      <c r="H45" s="10"/>
      <c r="I45" s="10"/>
      <c r="L45" s="10"/>
      <c r="M45" s="10"/>
      <c r="P45" s="10"/>
      <c r="Q45" s="10"/>
      <c r="T45" s="10"/>
      <c r="U45" s="10"/>
      <c r="X45" s="10"/>
      <c r="Y45" s="10"/>
      <c r="AB45" s="10"/>
      <c r="AC45" s="10"/>
      <c r="AF45" s="10"/>
      <c r="AG45" s="10"/>
      <c r="AJ45" s="10"/>
      <c r="AK45" s="10"/>
      <c r="AN45" s="10"/>
      <c r="AO45" s="10"/>
      <c r="AR45" s="10"/>
      <c r="AS45" s="10"/>
      <c r="AV45" s="10"/>
      <c r="AW45" s="10"/>
      <c r="AZ45" s="10"/>
      <c r="BA45" s="10"/>
      <c r="BD45" s="10"/>
      <c r="BE45" s="10"/>
      <c r="BH45" s="10"/>
      <c r="BI45" s="10"/>
      <c r="BL45" s="10"/>
      <c r="BM45" s="10"/>
      <c r="BN45">
        <f>SUMIFS($D45:$BM45,$D$9:$BM$9,$H$1)</f>
        <v>0</v>
      </c>
      <c r="BO45">
        <f>SUMIFS($D45:$BM45,$D$9:$BM$9,$H$2)</f>
        <v>0</v>
      </c>
      <c r="BP45">
        <f>BN45-BO45</f>
        <v>0</v>
      </c>
    </row>
    <row r="46" spans="2:68">
      <c r="B46" s="6" t="s">
        <v>80</v>
      </c>
      <c r="C46" s="6" t="s">
        <v>81</v>
      </c>
      <c r="D46" s="10"/>
      <c r="E46" s="10"/>
      <c r="H46" s="10"/>
      <c r="I46" s="10"/>
      <c r="L46" s="10"/>
      <c r="M46" s="10"/>
      <c r="P46" s="10"/>
      <c r="Q46" s="10"/>
      <c r="T46" s="10"/>
      <c r="U46" s="10"/>
      <c r="X46" s="10"/>
      <c r="Y46" s="10"/>
      <c r="AB46" s="10"/>
      <c r="AC46" s="10"/>
      <c r="AF46" s="10"/>
      <c r="AG46" s="10"/>
      <c r="AJ46" s="10"/>
      <c r="AK46" s="10"/>
      <c r="AN46" s="10"/>
      <c r="AO46" s="10"/>
      <c r="AR46" s="10"/>
      <c r="AS46" s="10"/>
      <c r="AV46" s="10"/>
      <c r="AW46" s="10"/>
      <c r="AZ46" s="10"/>
      <c r="BA46" s="10"/>
      <c r="BD46" s="10"/>
      <c r="BE46" s="10"/>
      <c r="BH46" s="10"/>
      <c r="BI46" s="10"/>
      <c r="BL46" s="10"/>
      <c r="BM46" s="10"/>
      <c r="BN46">
        <f>SUMIFS($D46:$BM46,$D$9:$BM$9,$H$1)</f>
        <v>0</v>
      </c>
      <c r="BO46">
        <f>SUMIFS($D46:$BM46,$D$9:$BM$9,$H$2)</f>
        <v>0</v>
      </c>
      <c r="BP46">
        <f>BN46-BO46</f>
        <v>0</v>
      </c>
    </row>
    <row r="47" spans="2:68">
      <c r="B47" s="6" t="s">
        <v>82</v>
      </c>
      <c r="C47" s="6" t="s">
        <v>81</v>
      </c>
      <c r="D47" s="10"/>
      <c r="E47" s="10"/>
      <c r="H47" s="10"/>
      <c r="I47" s="10"/>
      <c r="L47" s="10"/>
      <c r="M47" s="10"/>
      <c r="P47" s="10"/>
      <c r="Q47" s="10"/>
      <c r="T47" s="10"/>
      <c r="U47" s="10"/>
      <c r="X47" s="10"/>
      <c r="Y47" s="10"/>
      <c r="AB47" s="10"/>
      <c r="AC47" s="10"/>
      <c r="AF47" s="10"/>
      <c r="AG47" s="10"/>
      <c r="AJ47" s="10"/>
      <c r="AK47" s="10"/>
      <c r="AN47" s="10"/>
      <c r="AO47" s="10"/>
      <c r="AR47" s="10"/>
      <c r="AS47" s="10"/>
      <c r="AV47" s="10"/>
      <c r="AW47" s="10"/>
      <c r="AZ47" s="10"/>
      <c r="BA47" s="10"/>
      <c r="BD47" s="10"/>
      <c r="BE47" s="10"/>
      <c r="BH47" s="10"/>
      <c r="BI47" s="10"/>
      <c r="BL47" s="10"/>
      <c r="BM47" s="10"/>
      <c r="BN47">
        <f>SUMIFS($D47:$BM47,$D$9:$BM$9,$H$1)</f>
        <v>0</v>
      </c>
      <c r="BO47">
        <f>SUMIFS($D47:$BM47,$D$9:$BM$9,$H$2)</f>
        <v>0</v>
      </c>
      <c r="BP47">
        <f>BN47-BO47</f>
        <v>0</v>
      </c>
    </row>
    <row r="48" spans="2:68">
      <c r="B48" s="6" t="s">
        <v>83</v>
      </c>
      <c r="C48" s="6" t="s">
        <v>84</v>
      </c>
      <c r="D48" s="15"/>
      <c r="E48" s="15"/>
      <c r="F48" s="9"/>
      <c r="G48" s="9"/>
      <c r="H48" s="15"/>
      <c r="I48" s="15"/>
      <c r="J48" s="9"/>
      <c r="K48" s="9"/>
      <c r="L48" s="15"/>
      <c r="M48" s="15"/>
      <c r="N48" s="9"/>
      <c r="O48" s="9"/>
      <c r="P48" s="15"/>
      <c r="Q48" s="15"/>
      <c r="R48" s="9"/>
      <c r="S48" s="9"/>
      <c r="T48" s="15"/>
      <c r="U48" s="15"/>
      <c r="V48" s="9"/>
      <c r="W48" s="9"/>
      <c r="X48" s="15"/>
      <c r="Y48" s="15"/>
      <c r="Z48" s="9"/>
      <c r="AA48" s="9"/>
      <c r="AB48" s="15"/>
      <c r="AC48" s="15"/>
      <c r="AD48" s="9"/>
      <c r="AE48" s="9"/>
      <c r="AF48" s="15"/>
      <c r="AG48" s="15"/>
      <c r="AH48" s="9"/>
      <c r="AI48" s="9"/>
      <c r="AJ48" s="15"/>
      <c r="AK48" s="15"/>
      <c r="AL48" s="9"/>
      <c r="AM48" s="9"/>
      <c r="AN48" s="15"/>
      <c r="AO48" s="15"/>
      <c r="AP48" s="9"/>
      <c r="AQ48" s="9"/>
      <c r="AR48" s="15"/>
      <c r="AS48" s="15"/>
      <c r="AT48" s="9"/>
      <c r="AU48" s="9"/>
      <c r="AV48" s="15"/>
      <c r="AW48" s="15"/>
      <c r="AX48" s="9"/>
      <c r="AY48" s="9"/>
      <c r="AZ48" s="15"/>
      <c r="BA48" s="15"/>
      <c r="BB48" s="9"/>
      <c r="BC48" s="9"/>
      <c r="BD48" s="15"/>
      <c r="BE48" s="15"/>
      <c r="BF48" s="9"/>
      <c r="BG48" s="9"/>
      <c r="BH48" s="15"/>
      <c r="BI48" s="15"/>
      <c r="BJ48" s="9"/>
      <c r="BK48" s="9"/>
      <c r="BL48" s="15"/>
      <c r="BM48" s="15"/>
      <c r="BN48">
        <f>SUMIFS($D48:$BM48,$D$9:$BM$9,$H$1)</f>
        <v>0</v>
      </c>
      <c r="BO48">
        <f>SUMIFS($D48:$BM48,$D$9:$BM$9,$H$2)</f>
        <v>0</v>
      </c>
      <c r="BP48">
        <f>BN48-BO48</f>
        <v>0</v>
      </c>
    </row>
    <row r="49" spans="2:68">
      <c r="B49" s="6" t="s">
        <v>85</v>
      </c>
      <c r="C49" s="6" t="s">
        <v>86</v>
      </c>
      <c r="D49" s="10"/>
      <c r="E49" s="10"/>
      <c r="H49" s="10"/>
      <c r="I49" s="10"/>
      <c r="L49" s="10"/>
      <c r="M49" s="10"/>
      <c r="P49" s="10"/>
      <c r="Q49" s="10"/>
      <c r="T49" s="10"/>
      <c r="U49" s="10"/>
      <c r="X49" s="10"/>
      <c r="Y49" s="10"/>
      <c r="AB49" s="10"/>
      <c r="AC49" s="10"/>
      <c r="AF49" s="10"/>
      <c r="AG49" s="10"/>
      <c r="AJ49" s="10"/>
      <c r="AK49" s="10"/>
      <c r="AN49" s="10"/>
      <c r="AO49" s="10"/>
      <c r="AR49" s="10"/>
      <c r="AS49" s="10"/>
      <c r="AV49" s="10"/>
      <c r="AW49" s="10"/>
      <c r="AZ49" s="10"/>
      <c r="BA49" s="10"/>
      <c r="BD49" s="10"/>
      <c r="BE49" s="10"/>
      <c r="BH49" s="10"/>
      <c r="BI49" s="10"/>
      <c r="BL49" s="10"/>
      <c r="BM49" s="10"/>
      <c r="BN49">
        <f>SUMIFS($D49:$BM49,$D$9:$BM$9,$H$1)</f>
        <v>0</v>
      </c>
      <c r="BO49">
        <f>SUMIFS($D49:$BM49,$D$9:$BM$9,$H$2)</f>
        <v>0</v>
      </c>
      <c r="BP49">
        <f>BN49-BO49</f>
        <v>0</v>
      </c>
    </row>
    <row r="50" spans="2:68">
      <c r="B50" s="6" t="s">
        <v>87</v>
      </c>
      <c r="C50" s="6" t="s">
        <v>88</v>
      </c>
      <c r="BN50">
        <f>SUMIFS($D50:$BM50,$D$9:$BM$9,$H$1)</f>
        <v>0</v>
      </c>
      <c r="BO50">
        <f>SUMIFS($D50:$BM50,$D$9:$BM$9,$H$2)</f>
        <v>0</v>
      </c>
      <c r="BP50">
        <f>BN50-BO50</f>
        <v>0</v>
      </c>
    </row>
    <row r="51" spans="2:68">
      <c r="B51" s="6" t="s">
        <v>89</v>
      </c>
      <c r="C51" s="6" t="s">
        <v>88</v>
      </c>
      <c r="BN51">
        <f>SUMIFS($D51:$BM51,$D$9:$BM$9,$H$1)</f>
        <v>0</v>
      </c>
      <c r="BO51">
        <f>SUMIFS($D51:$BM51,$D$9:$BM$9,$H$2)</f>
        <v>0</v>
      </c>
      <c r="BP51">
        <f>BN51-BO51</f>
        <v>0</v>
      </c>
    </row>
    <row r="52" spans="2:68">
      <c r="B52" s="6" t="s">
        <v>90</v>
      </c>
      <c r="C52" s="6" t="s">
        <v>91</v>
      </c>
      <c r="BN52">
        <f>SUMIFS($D52:$BM52,$D$9:$BM$9,$H$1)</f>
        <v>0</v>
      </c>
      <c r="BO52">
        <f>SUMIFS($D52:$BM52,$D$9:$BM$9,$H$2)</f>
        <v>0</v>
      </c>
      <c r="BP52">
        <f>BN52-BO52</f>
        <v>0</v>
      </c>
    </row>
    <row r="53" spans="2:68">
      <c r="B53" s="6" t="s">
        <v>92</v>
      </c>
      <c r="C53" s="6" t="s">
        <v>91</v>
      </c>
      <c r="BN53">
        <f>SUMIFS($D53:$BM53,$D$9:$BM$9,$H$1)</f>
        <v>0</v>
      </c>
      <c r="BO53">
        <f>SUMIFS($D53:$BM53,$D$9:$BM$9,$H$2)</f>
        <v>0</v>
      </c>
      <c r="BP53">
        <f>BN53-BO53</f>
        <v>0</v>
      </c>
    </row>
    <row r="54" spans="2:68">
      <c r="B54" s="6" t="s">
        <v>93</v>
      </c>
      <c r="C54" s="6" t="s">
        <v>94</v>
      </c>
      <c r="BN54">
        <f>SUMIFS($D54:$BM54,$D$9:$BM$9,$H$1)</f>
        <v>0</v>
      </c>
      <c r="BO54">
        <f>SUMIFS($D54:$BM54,$D$9:$BM$9,$H$2)</f>
        <v>0</v>
      </c>
      <c r="BP54">
        <f>BN54-BO54</f>
        <v>0</v>
      </c>
    </row>
    <row r="55" spans="2:68">
      <c r="B55" s="6" t="s">
        <v>95</v>
      </c>
      <c r="C55" s="6" t="s">
        <v>94</v>
      </c>
      <c r="BN55">
        <f>SUMIFS($D55:$BM55,$D$9:$BM$9,$H$1)</f>
        <v>0</v>
      </c>
      <c r="BO55">
        <f>SUMIFS($D55:$BM55,$D$9:$BM$9,$H$2)</f>
        <v>0</v>
      </c>
      <c r="BP55">
        <f>BN55-BO55</f>
        <v>0</v>
      </c>
    </row>
    <row r="56" spans="2:68">
      <c r="B56" s="6" t="s">
        <v>96</v>
      </c>
      <c r="C56" s="6" t="s">
        <v>97</v>
      </c>
      <c r="BN56">
        <f>SUMIFS($D56:$BM56,$D$9:$BM$9,$H$1)</f>
        <v>0</v>
      </c>
      <c r="BO56">
        <f>SUMIFS($D56:$BM56,$D$9:$BM$9,$H$2)</f>
        <v>0</v>
      </c>
      <c r="BP56">
        <f>BN56-BO56</f>
        <v>0</v>
      </c>
    </row>
    <row r="57" spans="2:68">
      <c r="B57" s="6" t="s">
        <v>98</v>
      </c>
      <c r="C57" s="6" t="s">
        <v>99</v>
      </c>
      <c r="BN57">
        <f>SUMIFS($D57:$BM57,$D$9:$BM$9,$H$1)</f>
        <v>0</v>
      </c>
      <c r="BO57">
        <f>SUMIFS($D57:$BM57,$D$9:$BM$9,$H$2)</f>
        <v>0</v>
      </c>
      <c r="BP57">
        <f>BN57-BO57</f>
        <v>0</v>
      </c>
    </row>
  </sheetData>
  <sortState xmlns:xlrd2="http://schemas.microsoft.com/office/spreadsheetml/2017/richdata2" ref="B10:BP57">
    <sortCondition descending="1" ref="BP10:BP57"/>
  </sortState>
  <mergeCells count="93">
    <mergeCell ref="AP7:AQ7"/>
    <mergeCell ref="AR7:AS7"/>
    <mergeCell ref="AT7:AU7"/>
    <mergeCell ref="AV7:AW7"/>
    <mergeCell ref="BL7:BM7"/>
    <mergeCell ref="AZ7:BA7"/>
    <mergeCell ref="BB7:BC7"/>
    <mergeCell ref="BD7:BE7"/>
    <mergeCell ref="BF7:BG7"/>
    <mergeCell ref="BH7:BI7"/>
    <mergeCell ref="BJ7:BK7"/>
    <mergeCell ref="P7:Q7"/>
    <mergeCell ref="R7:S7"/>
    <mergeCell ref="T7:U7"/>
    <mergeCell ref="V7:W7"/>
    <mergeCell ref="X7:Y7"/>
    <mergeCell ref="Z7:AA7"/>
    <mergeCell ref="BF6:BG6"/>
    <mergeCell ref="BH6:BI6"/>
    <mergeCell ref="BJ6:BK6"/>
    <mergeCell ref="BL6:BM6"/>
    <mergeCell ref="BB6:BC6"/>
    <mergeCell ref="BD6:BE6"/>
    <mergeCell ref="AF6:AG6"/>
    <mergeCell ref="AX7:AY7"/>
    <mergeCell ref="AB7:AC7"/>
    <mergeCell ref="AD7:AE7"/>
    <mergeCell ref="AF7:AG7"/>
    <mergeCell ref="AH7:AI7"/>
    <mergeCell ref="AJ7:AK7"/>
    <mergeCell ref="AL7:AM7"/>
    <mergeCell ref="AN7:AO7"/>
    <mergeCell ref="D7:E7"/>
    <mergeCell ref="F7:G7"/>
    <mergeCell ref="H7:I7"/>
    <mergeCell ref="J7:K7"/>
    <mergeCell ref="L7:M7"/>
    <mergeCell ref="N7:O7"/>
    <mergeCell ref="AT6:AU6"/>
    <mergeCell ref="AV6:AW6"/>
    <mergeCell ref="AX6:AY6"/>
    <mergeCell ref="AZ6:BA6"/>
    <mergeCell ref="AH6:AI6"/>
    <mergeCell ref="AJ6:AK6"/>
    <mergeCell ref="AL6:AM6"/>
    <mergeCell ref="AN6:AO6"/>
    <mergeCell ref="AP6:AQ6"/>
    <mergeCell ref="AR6:AS6"/>
    <mergeCell ref="V6:W6"/>
    <mergeCell ref="X6:Y6"/>
    <mergeCell ref="Z6:AA6"/>
    <mergeCell ref="AB6:AC6"/>
    <mergeCell ref="AD6:AE6"/>
    <mergeCell ref="BL5:BM5"/>
    <mergeCell ref="D6:E6"/>
    <mergeCell ref="F6:G6"/>
    <mergeCell ref="H6:I6"/>
    <mergeCell ref="J6:K6"/>
    <mergeCell ref="L6:M6"/>
    <mergeCell ref="N6:O6"/>
    <mergeCell ref="P6:Q6"/>
    <mergeCell ref="R6:S6"/>
    <mergeCell ref="T6:U6"/>
    <mergeCell ref="AZ5:BA5"/>
    <mergeCell ref="BB5:BC5"/>
    <mergeCell ref="BD5:BE5"/>
    <mergeCell ref="BF5:BG5"/>
    <mergeCell ref="BH5:BI5"/>
    <mergeCell ref="BJ5:BK5"/>
    <mergeCell ref="AX5:AY5"/>
    <mergeCell ref="AB5:AC5"/>
    <mergeCell ref="AD5:AE5"/>
    <mergeCell ref="AF5:AG5"/>
    <mergeCell ref="AH5:AI5"/>
    <mergeCell ref="AJ5:AK5"/>
    <mergeCell ref="AL5:AM5"/>
    <mergeCell ref="AN5:AO5"/>
    <mergeCell ref="AP5:AQ5"/>
    <mergeCell ref="AR5:AS5"/>
    <mergeCell ref="AT5:AU5"/>
    <mergeCell ref="AV5:AW5"/>
    <mergeCell ref="Z5:AA5"/>
    <mergeCell ref="D5:E5"/>
    <mergeCell ref="F5:G5"/>
    <mergeCell ref="H5:I5"/>
    <mergeCell ref="J5:K5"/>
    <mergeCell ref="L5:M5"/>
    <mergeCell ref="N5:O5"/>
    <mergeCell ref="P5:Q5"/>
    <mergeCell ref="R5:S5"/>
    <mergeCell ref="T5:U5"/>
    <mergeCell ref="V5:W5"/>
    <mergeCell ref="X5:Y5"/>
  </mergeCells>
  <conditionalFormatting sqref="A9:XFD9">
    <cfRule type="cellIs" dxfId="8" priority="3" operator="equal">
      <formula>"J"</formula>
    </cfRule>
    <cfRule type="cellIs" dxfId="7" priority="4" operator="equal">
      <formula>"A"</formula>
    </cfRule>
  </conditionalFormatting>
  <conditionalFormatting sqref="B10:BP60">
    <cfRule type="expression" dxfId="6" priority="2">
      <formula>MOD(ROW(),2)</formula>
    </cfRule>
  </conditionalFormatting>
  <conditionalFormatting sqref="BP10:BP57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{578495B8-44FC-41DC-8BBD-984CA30AF524}</x14:id>
        </ext>
      </extLst>
    </cfRule>
  </conditionalFormatting>
  <dataValidations count="1">
    <dataValidation type="whole" allowBlank="1" showInputMessage="1" showErrorMessage="1" error="Attention: Entier compris entre 0 et 12 !" sqref="D10:BM49" xr:uid="{4CD02619-E860-441A-B0F1-A22574E54AC3}">
      <formula1>0</formula1>
      <formula2>12</formula2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130" orientation="portrait" r:id="rId1"/>
  <headerFooter>
    <oddFooter>&amp;L&amp;D - &amp;T&amp;RMois de &amp;A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8495B8-44FC-41DC-8BBD-984CA30AF5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BP10:BP57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85320-7413-4107-BC7F-83171C385CC1}">
  <sheetPr codeName="Feuil13"/>
  <dimension ref="B1:BQ57"/>
  <sheetViews>
    <sheetView showGridLines="0" showRowColHeaders="0" zoomScaleNormal="100" workbookViewId="0">
      <pane xSplit="3" ySplit="9" topLeftCell="AL10" activePane="bottomRight" state="frozen"/>
      <selection pane="bottomRight" activeCell="BN6" sqref="BN6:BP6"/>
      <selection pane="bottomLeft" activeCell="CC17" sqref="CC17"/>
      <selection pane="topRight" activeCell="CC17" sqref="CC17"/>
    </sheetView>
  </sheetViews>
  <sheetFormatPr defaultColWidth="11.42578125" defaultRowHeight="15"/>
  <cols>
    <col min="1" max="1" width="2.42578125" customWidth="1"/>
    <col min="2" max="2" width="32.140625" style="6" customWidth="1"/>
    <col min="3" max="3" width="22.42578125" style="6" customWidth="1"/>
    <col min="4" max="65" width="3.7109375" customWidth="1"/>
    <col min="66" max="66" width="4.42578125" bestFit="1" customWidth="1"/>
    <col min="67" max="67" width="4.28515625" customWidth="1"/>
    <col min="68" max="68" width="7.42578125" bestFit="1" customWidth="1"/>
    <col min="69" max="69" width="7.7109375" customWidth="1"/>
    <col min="70" max="105" width="3.7109375" customWidth="1"/>
  </cols>
  <sheetData>
    <row r="1" spans="2:69">
      <c r="H1" s="4" t="s">
        <v>0</v>
      </c>
      <c r="I1" t="s">
        <v>1</v>
      </c>
      <c r="N1" t="s">
        <v>2</v>
      </c>
      <c r="O1" t="s">
        <v>3</v>
      </c>
    </row>
    <row r="2" spans="2:69">
      <c r="H2" s="5" t="s">
        <v>4</v>
      </c>
      <c r="I2" t="s">
        <v>5</v>
      </c>
      <c r="N2" t="s">
        <v>6</v>
      </c>
      <c r="O2" t="s">
        <v>7</v>
      </c>
    </row>
    <row r="3" spans="2:69">
      <c r="N3" t="s">
        <v>8</v>
      </c>
      <c r="O3" t="s">
        <v>9</v>
      </c>
    </row>
    <row r="4" spans="2:69">
      <c r="B4" s="12"/>
      <c r="C4" s="12"/>
    </row>
    <row r="5" spans="2:69" s="2" customFormat="1">
      <c r="B5" s="13"/>
      <c r="C5" s="13"/>
      <c r="D5" s="45">
        <v>1</v>
      </c>
      <c r="E5" s="45"/>
      <c r="F5" s="45">
        <v>2</v>
      </c>
      <c r="G5" s="45"/>
      <c r="H5" s="45">
        <v>3</v>
      </c>
      <c r="I5" s="45"/>
      <c r="J5" s="45">
        <v>4</v>
      </c>
      <c r="K5" s="45"/>
      <c r="L5" s="45">
        <v>5</v>
      </c>
      <c r="M5" s="45"/>
      <c r="N5" s="45">
        <v>6</v>
      </c>
      <c r="O5" s="45"/>
      <c r="P5" s="45">
        <v>7</v>
      </c>
      <c r="Q5" s="45"/>
      <c r="R5" s="45">
        <v>8</v>
      </c>
      <c r="S5" s="45"/>
      <c r="T5" s="45">
        <v>9</v>
      </c>
      <c r="U5" s="45"/>
      <c r="V5" s="45">
        <v>10</v>
      </c>
      <c r="W5" s="45"/>
      <c r="X5" s="45">
        <v>11</v>
      </c>
      <c r="Y5" s="45"/>
      <c r="Z5" s="45">
        <v>12</v>
      </c>
      <c r="AA5" s="45"/>
      <c r="AB5" s="45">
        <v>13</v>
      </c>
      <c r="AC5" s="45"/>
      <c r="AD5" s="45">
        <v>14</v>
      </c>
      <c r="AE5" s="45"/>
      <c r="AF5" s="45">
        <v>15</v>
      </c>
      <c r="AG5" s="45"/>
      <c r="AH5" s="45">
        <v>16</v>
      </c>
      <c r="AI5" s="45"/>
      <c r="AJ5" s="45">
        <v>17</v>
      </c>
      <c r="AK5" s="45"/>
      <c r="AL5" s="45">
        <v>18</v>
      </c>
      <c r="AM5" s="45"/>
      <c r="AN5" s="45">
        <v>19</v>
      </c>
      <c r="AO5" s="45"/>
      <c r="AP5" s="45">
        <v>20</v>
      </c>
      <c r="AQ5" s="45"/>
      <c r="AR5" s="45">
        <v>21</v>
      </c>
      <c r="AS5" s="45"/>
      <c r="AT5" s="45">
        <v>22</v>
      </c>
      <c r="AU5" s="45"/>
      <c r="AV5" s="45">
        <v>23</v>
      </c>
      <c r="AW5" s="45"/>
      <c r="AX5" s="45">
        <v>24</v>
      </c>
      <c r="AY5" s="45"/>
      <c r="AZ5" s="45">
        <v>25</v>
      </c>
      <c r="BA5" s="45"/>
      <c r="BB5" s="45">
        <v>26</v>
      </c>
      <c r="BC5" s="45"/>
      <c r="BD5" s="45">
        <v>27</v>
      </c>
      <c r="BE5" s="45"/>
      <c r="BF5" s="45">
        <v>28</v>
      </c>
      <c r="BG5" s="45"/>
      <c r="BH5" s="45">
        <v>29</v>
      </c>
      <c r="BI5" s="45"/>
      <c r="BJ5" s="45">
        <v>30</v>
      </c>
      <c r="BK5" s="45"/>
      <c r="BL5" s="45">
        <v>31</v>
      </c>
      <c r="BM5" s="45"/>
      <c r="BQ5" s="6" t="s">
        <v>10</v>
      </c>
    </row>
    <row r="6" spans="2:69">
      <c r="D6" s="49" t="str">
        <f t="shared" ref="D6:BJ6" si="0">TEXT(WEEKDAY(DATE($BQ$6,11,D$5),1),"jjj")</f>
        <v>dim.</v>
      </c>
      <c r="E6" s="49"/>
      <c r="F6" s="49" t="str">
        <f t="shared" si="0"/>
        <v>lun.</v>
      </c>
      <c r="G6" s="49"/>
      <c r="H6" s="49" t="str">
        <f t="shared" si="0"/>
        <v>mar.</v>
      </c>
      <c r="I6" s="49"/>
      <c r="J6" s="49" t="str">
        <f t="shared" si="0"/>
        <v>mer.</v>
      </c>
      <c r="K6" s="49"/>
      <c r="L6" s="49" t="str">
        <f t="shared" si="0"/>
        <v>jeu.</v>
      </c>
      <c r="M6" s="49"/>
      <c r="N6" s="49" t="str">
        <f t="shared" si="0"/>
        <v>ven.</v>
      </c>
      <c r="O6" s="49"/>
      <c r="P6" s="49" t="str">
        <f t="shared" si="0"/>
        <v>sam.</v>
      </c>
      <c r="Q6" s="49"/>
      <c r="R6" s="49" t="str">
        <f t="shared" si="0"/>
        <v>dim.</v>
      </c>
      <c r="S6" s="49"/>
      <c r="T6" s="49" t="str">
        <f t="shared" si="0"/>
        <v>lun.</v>
      </c>
      <c r="U6" s="49"/>
      <c r="V6" s="49" t="str">
        <f t="shared" si="0"/>
        <v>mar.</v>
      </c>
      <c r="W6" s="49"/>
      <c r="X6" s="49" t="str">
        <f t="shared" si="0"/>
        <v>mer.</v>
      </c>
      <c r="Y6" s="49"/>
      <c r="Z6" s="49" t="str">
        <f t="shared" si="0"/>
        <v>jeu.</v>
      </c>
      <c r="AA6" s="49"/>
      <c r="AB6" s="49" t="str">
        <f t="shared" si="0"/>
        <v>ven.</v>
      </c>
      <c r="AC6" s="49"/>
      <c r="AD6" s="49" t="str">
        <f t="shared" si="0"/>
        <v>sam.</v>
      </c>
      <c r="AE6" s="49"/>
      <c r="AF6" s="49" t="str">
        <f t="shared" si="0"/>
        <v>dim.</v>
      </c>
      <c r="AG6" s="49"/>
      <c r="AH6" s="49" t="str">
        <f t="shared" si="0"/>
        <v>lun.</v>
      </c>
      <c r="AI6" s="49"/>
      <c r="AJ6" s="49" t="str">
        <f t="shared" si="0"/>
        <v>mar.</v>
      </c>
      <c r="AK6" s="49"/>
      <c r="AL6" s="49" t="str">
        <f t="shared" si="0"/>
        <v>mer.</v>
      </c>
      <c r="AM6" s="49"/>
      <c r="AN6" s="49" t="str">
        <f t="shared" si="0"/>
        <v>jeu.</v>
      </c>
      <c r="AO6" s="49"/>
      <c r="AP6" s="49" t="str">
        <f t="shared" si="0"/>
        <v>ven.</v>
      </c>
      <c r="AQ6" s="49"/>
      <c r="AR6" s="49" t="str">
        <f t="shared" si="0"/>
        <v>sam.</v>
      </c>
      <c r="AS6" s="49"/>
      <c r="AT6" s="49" t="str">
        <f t="shared" si="0"/>
        <v>dim.</v>
      </c>
      <c r="AU6" s="49"/>
      <c r="AV6" s="49" t="str">
        <f t="shared" si="0"/>
        <v>lun.</v>
      </c>
      <c r="AW6" s="49"/>
      <c r="AX6" s="49" t="str">
        <f t="shared" si="0"/>
        <v>mar.</v>
      </c>
      <c r="AY6" s="49"/>
      <c r="AZ6" s="49" t="str">
        <f t="shared" si="0"/>
        <v>mer.</v>
      </c>
      <c r="BA6" s="49"/>
      <c r="BB6" s="49" t="str">
        <f t="shared" si="0"/>
        <v>jeu.</v>
      </c>
      <c r="BC6" s="49"/>
      <c r="BD6" s="49" t="str">
        <f t="shared" si="0"/>
        <v>ven.</v>
      </c>
      <c r="BE6" s="49"/>
      <c r="BF6" s="49" t="str">
        <f t="shared" si="0"/>
        <v>sam.</v>
      </c>
      <c r="BG6" s="49"/>
      <c r="BH6" s="49" t="str">
        <f t="shared" si="0"/>
        <v>dim.</v>
      </c>
      <c r="BI6" s="49"/>
      <c r="BJ6" s="49" t="str">
        <f t="shared" si="0"/>
        <v>lun.</v>
      </c>
      <c r="BK6" s="49"/>
      <c r="BL6" s="49"/>
      <c r="BM6" s="49"/>
      <c r="BN6" s="14" t="str">
        <f>Janvier!BN6</f>
        <v>LIAGE 3</v>
      </c>
      <c r="BO6" s="14"/>
      <c r="BP6" s="14"/>
      <c r="BQ6" s="7">
        <f>Janvier!BQ6</f>
        <v>2020</v>
      </c>
    </row>
    <row r="7" spans="2:69">
      <c r="B7" s="30" t="s">
        <v>118</v>
      </c>
      <c r="C7" s="1"/>
      <c r="D7" s="47">
        <v>1</v>
      </c>
      <c r="E7" s="48"/>
      <c r="F7" s="47">
        <v>2</v>
      </c>
      <c r="G7" s="48"/>
      <c r="H7" s="47">
        <v>3</v>
      </c>
      <c r="I7" s="48"/>
      <c r="J7" s="47">
        <v>4</v>
      </c>
      <c r="K7" s="48"/>
      <c r="L7" s="47">
        <v>5</v>
      </c>
      <c r="M7" s="48"/>
      <c r="N7" s="47">
        <v>6</v>
      </c>
      <c r="O7" s="48"/>
      <c r="P7" s="47">
        <v>7</v>
      </c>
      <c r="Q7" s="48"/>
      <c r="R7" s="47">
        <v>8</v>
      </c>
      <c r="S7" s="48"/>
      <c r="T7" s="47">
        <v>9</v>
      </c>
      <c r="U7" s="48"/>
      <c r="V7" s="47">
        <v>10</v>
      </c>
      <c r="W7" s="48"/>
      <c r="X7" s="47">
        <v>11</v>
      </c>
      <c r="Y7" s="48"/>
      <c r="Z7" s="47">
        <v>12</v>
      </c>
      <c r="AA7" s="48"/>
      <c r="AB7" s="47">
        <v>13</v>
      </c>
      <c r="AC7" s="48"/>
      <c r="AD7" s="47">
        <v>14</v>
      </c>
      <c r="AE7" s="48"/>
      <c r="AF7" s="47">
        <v>15</v>
      </c>
      <c r="AG7" s="48"/>
      <c r="AH7" s="47">
        <v>16</v>
      </c>
      <c r="AI7" s="48"/>
      <c r="AJ7" s="47">
        <v>17</v>
      </c>
      <c r="AK7" s="48"/>
      <c r="AL7" s="47">
        <v>18</v>
      </c>
      <c r="AM7" s="48"/>
      <c r="AN7" s="47">
        <v>19</v>
      </c>
      <c r="AO7" s="48"/>
      <c r="AP7" s="47">
        <v>20</v>
      </c>
      <c r="AQ7" s="48"/>
      <c r="AR7" s="47">
        <v>21</v>
      </c>
      <c r="AS7" s="48"/>
      <c r="AT7" s="47">
        <v>22</v>
      </c>
      <c r="AU7" s="48"/>
      <c r="AV7" s="47">
        <v>23</v>
      </c>
      <c r="AW7" s="48"/>
      <c r="AX7" s="47">
        <v>24</v>
      </c>
      <c r="AY7" s="48"/>
      <c r="AZ7" s="47">
        <v>25</v>
      </c>
      <c r="BA7" s="48"/>
      <c r="BB7" s="47">
        <v>26</v>
      </c>
      <c r="BC7" s="48"/>
      <c r="BD7" s="47">
        <v>27</v>
      </c>
      <c r="BE7" s="48"/>
      <c r="BF7" s="47">
        <v>28</v>
      </c>
      <c r="BG7" s="48"/>
      <c r="BH7" s="47">
        <v>29</v>
      </c>
      <c r="BI7" s="48"/>
      <c r="BJ7" s="47">
        <v>30</v>
      </c>
      <c r="BK7" s="48"/>
      <c r="BL7" s="47"/>
      <c r="BM7" s="48"/>
    </row>
    <row r="8" spans="2:69" s="11" customFormat="1">
      <c r="B8" s="8"/>
      <c r="C8" s="8" t="s">
        <v>119</v>
      </c>
      <c r="D8" s="16"/>
      <c r="E8" s="17"/>
      <c r="F8" s="18"/>
      <c r="G8" s="17"/>
      <c r="H8" s="19"/>
      <c r="I8" s="20"/>
      <c r="J8" s="19"/>
      <c r="K8" s="20"/>
      <c r="L8" s="19"/>
      <c r="M8" s="20"/>
      <c r="N8" s="19"/>
      <c r="O8" s="20"/>
      <c r="P8" s="19"/>
      <c r="Q8" s="20"/>
      <c r="R8" s="19"/>
      <c r="S8" s="20"/>
      <c r="T8" s="19"/>
      <c r="U8" s="20"/>
      <c r="V8" s="19"/>
      <c r="W8" s="20"/>
      <c r="X8" s="19"/>
      <c r="Y8" s="20"/>
      <c r="Z8" s="19"/>
      <c r="AA8" s="20"/>
      <c r="AB8" s="19"/>
      <c r="AC8" s="20"/>
      <c r="AD8" s="19"/>
      <c r="AE8" s="20"/>
      <c r="AF8" s="19"/>
      <c r="AG8" s="20"/>
      <c r="AH8" s="19"/>
      <c r="AI8" s="20"/>
      <c r="AJ8" s="19"/>
      <c r="AK8" s="20"/>
      <c r="AL8" s="19"/>
      <c r="AM8" s="20"/>
      <c r="AN8" s="19"/>
      <c r="AO8" s="20"/>
      <c r="AP8" s="19"/>
      <c r="AQ8" s="20"/>
      <c r="AR8" s="19"/>
      <c r="AS8" s="20"/>
      <c r="AT8" s="19"/>
      <c r="AU8" s="20"/>
      <c r="AV8" s="19"/>
      <c r="AW8" s="20"/>
      <c r="AX8" s="19"/>
      <c r="AY8" s="20"/>
      <c r="AZ8" s="19"/>
      <c r="BA8" s="20"/>
      <c r="BB8" s="19"/>
      <c r="BC8" s="20"/>
      <c r="BD8" s="19"/>
      <c r="BE8" s="20"/>
      <c r="BF8" s="19"/>
      <c r="BG8" s="20"/>
      <c r="BH8" s="19"/>
      <c r="BI8" s="20"/>
      <c r="BJ8" s="19"/>
      <c r="BK8" s="20"/>
      <c r="BL8" s="19"/>
      <c r="BM8" s="21"/>
      <c r="BN8">
        <f>SUM(BN10:BN49)</f>
        <v>71</v>
      </c>
      <c r="BO8">
        <f>SUM(BO10:BO49)</f>
        <v>27</v>
      </c>
      <c r="BP8">
        <f>SUM(BP10:BP49)</f>
        <v>44</v>
      </c>
    </row>
    <row r="9" spans="2:69" s="3" customFormat="1" ht="12" customHeight="1">
      <c r="B9" s="23" t="s">
        <v>14</v>
      </c>
      <c r="C9" s="23" t="s">
        <v>15</v>
      </c>
      <c r="D9" s="24" t="str">
        <f>$H$1</f>
        <v>A</v>
      </c>
      <c r="E9" s="25" t="str">
        <f>$H$2</f>
        <v>J</v>
      </c>
      <c r="F9" s="26" t="str">
        <f>$H$1</f>
        <v>A</v>
      </c>
      <c r="G9" s="27" t="str">
        <f>$H$2</f>
        <v>J</v>
      </c>
      <c r="H9" s="28" t="str">
        <f>$H$1</f>
        <v>A</v>
      </c>
      <c r="I9" s="25" t="str">
        <f>$H$2</f>
        <v>J</v>
      </c>
      <c r="J9" s="26" t="str">
        <f>$H$1</f>
        <v>A</v>
      </c>
      <c r="K9" s="27" t="str">
        <f>$H$2</f>
        <v>J</v>
      </c>
      <c r="L9" s="28" t="str">
        <f>$H$1</f>
        <v>A</v>
      </c>
      <c r="M9" s="25" t="str">
        <f>$H$2</f>
        <v>J</v>
      </c>
      <c r="N9" s="26" t="str">
        <f>$H$1</f>
        <v>A</v>
      </c>
      <c r="O9" s="27" t="str">
        <f>$H$2</f>
        <v>J</v>
      </c>
      <c r="P9" s="28" t="str">
        <f>$H$1</f>
        <v>A</v>
      </c>
      <c r="Q9" s="25" t="str">
        <f>$H$2</f>
        <v>J</v>
      </c>
      <c r="R9" s="26" t="str">
        <f>$H$1</f>
        <v>A</v>
      </c>
      <c r="S9" s="27" t="str">
        <f>$H$2</f>
        <v>J</v>
      </c>
      <c r="T9" s="28" t="str">
        <f>$H$1</f>
        <v>A</v>
      </c>
      <c r="U9" s="25" t="str">
        <f>$H$2</f>
        <v>J</v>
      </c>
      <c r="V9" s="26" t="str">
        <f>$H$1</f>
        <v>A</v>
      </c>
      <c r="W9" s="27" t="str">
        <f>$H$2</f>
        <v>J</v>
      </c>
      <c r="X9" s="28" t="str">
        <f>$H$1</f>
        <v>A</v>
      </c>
      <c r="Y9" s="25" t="str">
        <f>$H$2</f>
        <v>J</v>
      </c>
      <c r="Z9" s="26" t="str">
        <f>$H$1</f>
        <v>A</v>
      </c>
      <c r="AA9" s="27" t="str">
        <f>$H$2</f>
        <v>J</v>
      </c>
      <c r="AB9" s="28" t="str">
        <f>$H$1</f>
        <v>A</v>
      </c>
      <c r="AC9" s="25" t="str">
        <f>$H$2</f>
        <v>J</v>
      </c>
      <c r="AD9" s="26" t="str">
        <f>$H$1</f>
        <v>A</v>
      </c>
      <c r="AE9" s="27" t="str">
        <f>$H$2</f>
        <v>J</v>
      </c>
      <c r="AF9" s="28" t="str">
        <f>$H$1</f>
        <v>A</v>
      </c>
      <c r="AG9" s="25" t="str">
        <f>$H$2</f>
        <v>J</v>
      </c>
      <c r="AH9" s="26" t="str">
        <f>$H$1</f>
        <v>A</v>
      </c>
      <c r="AI9" s="27" t="str">
        <f>$H$2</f>
        <v>J</v>
      </c>
      <c r="AJ9" s="28" t="str">
        <f>$H$1</f>
        <v>A</v>
      </c>
      <c r="AK9" s="25" t="str">
        <f>$H$2</f>
        <v>J</v>
      </c>
      <c r="AL9" s="26" t="str">
        <f>$H$1</f>
        <v>A</v>
      </c>
      <c r="AM9" s="27" t="str">
        <f>$H$2</f>
        <v>J</v>
      </c>
      <c r="AN9" s="28" t="str">
        <f>$H$1</f>
        <v>A</v>
      </c>
      <c r="AO9" s="25" t="str">
        <f>$H$2</f>
        <v>J</v>
      </c>
      <c r="AP9" s="26" t="str">
        <f>$H$1</f>
        <v>A</v>
      </c>
      <c r="AQ9" s="27" t="str">
        <f>$H$2</f>
        <v>J</v>
      </c>
      <c r="AR9" s="28" t="str">
        <f>$H$1</f>
        <v>A</v>
      </c>
      <c r="AS9" s="25" t="str">
        <f>$H$2</f>
        <v>J</v>
      </c>
      <c r="AT9" s="26" t="str">
        <f>$H$1</f>
        <v>A</v>
      </c>
      <c r="AU9" s="27" t="str">
        <f>$H$2</f>
        <v>J</v>
      </c>
      <c r="AV9" s="28" t="str">
        <f>$H$1</f>
        <v>A</v>
      </c>
      <c r="AW9" s="25" t="str">
        <f>$H$2</f>
        <v>J</v>
      </c>
      <c r="AX9" s="26" t="str">
        <f>$H$1</f>
        <v>A</v>
      </c>
      <c r="AY9" s="27" t="str">
        <f>$H$2</f>
        <v>J</v>
      </c>
      <c r="AZ9" s="28" t="str">
        <f>$H$1</f>
        <v>A</v>
      </c>
      <c r="BA9" s="25" t="str">
        <f>$H$2</f>
        <v>J</v>
      </c>
      <c r="BB9" s="26" t="str">
        <f>$H$1</f>
        <v>A</v>
      </c>
      <c r="BC9" s="27" t="str">
        <f>$H$2</f>
        <v>J</v>
      </c>
      <c r="BD9" s="28" t="str">
        <f>$H$1</f>
        <v>A</v>
      </c>
      <c r="BE9" s="25" t="str">
        <f>$H$2</f>
        <v>J</v>
      </c>
      <c r="BF9" s="26" t="str">
        <f>$H$1</f>
        <v>A</v>
      </c>
      <c r="BG9" s="27" t="str">
        <f>$H$2</f>
        <v>J</v>
      </c>
      <c r="BH9" s="28" t="str">
        <f>$H$1</f>
        <v>A</v>
      </c>
      <c r="BI9" s="25" t="str">
        <f>$H$2</f>
        <v>J</v>
      </c>
      <c r="BJ9" s="26" t="str">
        <f>$H$1</f>
        <v>A</v>
      </c>
      <c r="BK9" s="27" t="str">
        <f>$H$2</f>
        <v>J</v>
      </c>
      <c r="BL9" s="28" t="str">
        <f>$H$1</f>
        <v>A</v>
      </c>
      <c r="BM9" s="24" t="str">
        <f>$H$2</f>
        <v>J</v>
      </c>
      <c r="BN9" s="29" t="s">
        <v>2</v>
      </c>
      <c r="BO9" s="29" t="s">
        <v>6</v>
      </c>
      <c r="BP9" s="29" t="s">
        <v>8</v>
      </c>
    </row>
    <row r="10" spans="2:69">
      <c r="B10" s="6" t="s">
        <v>16</v>
      </c>
      <c r="C10" s="6" t="s">
        <v>17</v>
      </c>
      <c r="D10" s="10"/>
      <c r="E10" s="15"/>
      <c r="F10" s="9"/>
      <c r="G10" s="9"/>
      <c r="H10" s="15"/>
      <c r="I10" s="15"/>
      <c r="J10" s="9"/>
      <c r="K10" s="9"/>
      <c r="L10" s="15"/>
      <c r="M10" s="15"/>
      <c r="N10" s="9"/>
      <c r="O10" s="9"/>
      <c r="P10" s="15"/>
      <c r="Q10" s="15"/>
      <c r="R10" s="9"/>
      <c r="S10" s="9"/>
      <c r="T10" s="15"/>
      <c r="U10" s="15"/>
      <c r="V10" s="9"/>
      <c r="W10" s="9"/>
      <c r="X10" s="15"/>
      <c r="Y10" s="15"/>
      <c r="Z10" s="9"/>
      <c r="AA10" s="9"/>
      <c r="AB10" s="15"/>
      <c r="AC10" s="15"/>
      <c r="AD10" s="9"/>
      <c r="AE10" s="9"/>
      <c r="AF10" s="15"/>
      <c r="AG10" s="15"/>
      <c r="AH10" s="9"/>
      <c r="AI10" s="9"/>
      <c r="AJ10" s="15"/>
      <c r="AK10" s="15"/>
      <c r="AL10" s="9"/>
      <c r="AM10" s="9"/>
      <c r="AN10" s="15">
        <v>7</v>
      </c>
      <c r="AO10" s="15"/>
      <c r="AP10" s="9">
        <v>5</v>
      </c>
      <c r="AQ10" s="9">
        <v>1</v>
      </c>
      <c r="AR10" s="15"/>
      <c r="AS10" s="15"/>
      <c r="AT10" s="9"/>
      <c r="AU10" s="9"/>
      <c r="AV10" s="15"/>
      <c r="AW10" s="15"/>
      <c r="AX10" s="9">
        <v>8</v>
      </c>
      <c r="AY10" s="9"/>
      <c r="AZ10" s="15"/>
      <c r="BA10" s="15"/>
      <c r="BB10" s="15"/>
      <c r="BC10" s="9"/>
      <c r="BD10" s="15"/>
      <c r="BE10" s="15"/>
      <c r="BF10" s="15"/>
      <c r="BG10" s="9"/>
      <c r="BH10" s="15"/>
      <c r="BI10" s="15"/>
      <c r="BJ10" s="9"/>
      <c r="BK10" s="9"/>
      <c r="BL10" s="15"/>
      <c r="BM10" s="10"/>
      <c r="BN10">
        <f>SUMIFS($D10:$BM10,$D$9:$BM$9,$H$1)</f>
        <v>20</v>
      </c>
      <c r="BO10">
        <f>SUMIFS($D10:$BM10,$D$9:$BM$9,$H$2)</f>
        <v>1</v>
      </c>
      <c r="BP10">
        <f>BN10-BO10</f>
        <v>19</v>
      </c>
    </row>
    <row r="11" spans="2:69">
      <c r="B11" s="6" t="s">
        <v>18</v>
      </c>
      <c r="C11" s="6" t="s">
        <v>19</v>
      </c>
      <c r="D11" s="10">
        <v>8</v>
      </c>
      <c r="E11" s="15">
        <v>8</v>
      </c>
      <c r="F11" s="9">
        <v>7</v>
      </c>
      <c r="G11" s="9">
        <v>1</v>
      </c>
      <c r="H11" s="15">
        <v>10</v>
      </c>
      <c r="I11" s="15"/>
      <c r="J11" s="15"/>
      <c r="K11" s="9"/>
      <c r="L11" s="15"/>
      <c r="M11" s="15"/>
      <c r="N11" s="9"/>
      <c r="O11" s="9"/>
      <c r="P11" s="15"/>
      <c r="Q11" s="15"/>
      <c r="R11" s="15"/>
      <c r="S11" s="9"/>
      <c r="T11" s="15"/>
      <c r="U11" s="15"/>
      <c r="V11" s="9"/>
      <c r="W11" s="9"/>
      <c r="X11" s="15"/>
      <c r="Y11" s="15"/>
      <c r="Z11" s="9"/>
      <c r="AA11" s="9"/>
      <c r="AB11" s="15"/>
      <c r="AC11" s="15"/>
      <c r="AD11" s="9"/>
      <c r="AE11" s="9"/>
      <c r="AF11" s="15"/>
      <c r="AG11" s="15"/>
      <c r="AH11" s="9"/>
      <c r="AI11" s="9"/>
      <c r="AJ11" s="15"/>
      <c r="AK11" s="15"/>
      <c r="AL11" s="9"/>
      <c r="AM11" s="9"/>
      <c r="AN11" s="15"/>
      <c r="AO11" s="15"/>
      <c r="AP11" s="9"/>
      <c r="AQ11" s="9"/>
      <c r="AR11" s="15"/>
      <c r="AS11" s="15"/>
      <c r="AT11" s="9"/>
      <c r="AU11" s="9"/>
      <c r="AV11" s="15"/>
      <c r="AW11" s="15"/>
      <c r="AX11" s="9"/>
      <c r="AY11" s="9"/>
      <c r="AZ11" s="15"/>
      <c r="BA11" s="15"/>
      <c r="BB11" s="9"/>
      <c r="BC11" s="9"/>
      <c r="BD11" s="15"/>
      <c r="BE11" s="15"/>
      <c r="BF11" s="9"/>
      <c r="BG11" s="9"/>
      <c r="BH11" s="15"/>
      <c r="BI11" s="15"/>
      <c r="BJ11" s="9"/>
      <c r="BK11" s="9"/>
      <c r="BL11" s="15"/>
      <c r="BM11" s="10"/>
      <c r="BN11">
        <f>SUMIFS($D11:$BM11,$D$9:$BM$9,$H$1)</f>
        <v>25</v>
      </c>
      <c r="BO11">
        <f>SUMIFS($D11:$BM11,$D$9:$BM$9,$H$2)</f>
        <v>9</v>
      </c>
      <c r="BP11">
        <f>BN11-BO11</f>
        <v>16</v>
      </c>
    </row>
    <row r="12" spans="2:69">
      <c r="B12" s="6" t="s">
        <v>20</v>
      </c>
      <c r="C12" s="6" t="s">
        <v>21</v>
      </c>
      <c r="D12" s="10">
        <v>8</v>
      </c>
      <c r="E12" s="15">
        <v>2</v>
      </c>
      <c r="F12" s="9"/>
      <c r="G12" s="9"/>
      <c r="H12" s="15"/>
      <c r="I12" s="15">
        <v>6</v>
      </c>
      <c r="J12" s="9">
        <v>3</v>
      </c>
      <c r="K12" s="9"/>
      <c r="L12" s="15"/>
      <c r="M12" s="15"/>
      <c r="N12" s="9"/>
      <c r="O12" s="9"/>
      <c r="P12" s="15"/>
      <c r="Q12" s="15"/>
      <c r="R12" s="9"/>
      <c r="S12" s="9"/>
      <c r="T12" s="15">
        <v>7</v>
      </c>
      <c r="U12" s="15">
        <v>1</v>
      </c>
      <c r="V12" s="9"/>
      <c r="W12" s="9"/>
      <c r="X12" s="15">
        <v>8</v>
      </c>
      <c r="Y12" s="15">
        <v>8</v>
      </c>
      <c r="Z12" s="9"/>
      <c r="AA12" s="9"/>
      <c r="AB12" s="15"/>
      <c r="AC12" s="15"/>
      <c r="AD12" s="9"/>
      <c r="AE12" s="9"/>
      <c r="AF12" s="15"/>
      <c r="AG12" s="15"/>
      <c r="AH12" s="9"/>
      <c r="AI12" s="9"/>
      <c r="AJ12" s="15"/>
      <c r="AK12" s="15"/>
      <c r="AL12" s="9"/>
      <c r="AM12" s="9"/>
      <c r="AN12" s="15"/>
      <c r="AO12" s="15"/>
      <c r="AP12" s="9"/>
      <c r="AQ12" s="9"/>
      <c r="AR12" s="15"/>
      <c r="AS12" s="15"/>
      <c r="AT12" s="9"/>
      <c r="AU12" s="9"/>
      <c r="AV12" s="15"/>
      <c r="AW12" s="15"/>
      <c r="AX12" s="9"/>
      <c r="AY12" s="9"/>
      <c r="AZ12" s="15"/>
      <c r="BA12" s="15"/>
      <c r="BB12" s="9"/>
      <c r="BC12" s="9"/>
      <c r="BD12" s="15"/>
      <c r="BE12" s="15"/>
      <c r="BF12" s="9"/>
      <c r="BG12" s="9"/>
      <c r="BH12" s="15"/>
      <c r="BI12" s="15"/>
      <c r="BJ12" s="9"/>
      <c r="BK12" s="9"/>
      <c r="BL12" s="15"/>
      <c r="BM12" s="10"/>
      <c r="BN12">
        <f>SUMIFS($D12:$BM12,$D$9:$BM$9,$H$1)</f>
        <v>26</v>
      </c>
      <c r="BO12">
        <f>SUMIFS($D12:$BM12,$D$9:$BM$9,$H$2)</f>
        <v>17</v>
      </c>
      <c r="BP12">
        <f>BN12-BO12</f>
        <v>9</v>
      </c>
    </row>
    <row r="13" spans="2:69">
      <c r="B13" s="6" t="s">
        <v>22</v>
      </c>
      <c r="C13" s="6" t="s">
        <v>23</v>
      </c>
      <c r="D13" s="10"/>
      <c r="E13" s="10"/>
      <c r="H13" s="10"/>
      <c r="I13" s="10"/>
      <c r="L13" s="10"/>
      <c r="M13" s="10"/>
      <c r="P13" s="10"/>
      <c r="Q13" s="10"/>
      <c r="T13" s="10"/>
      <c r="U13" s="10"/>
      <c r="X13" s="10"/>
      <c r="Y13" s="10"/>
      <c r="AB13" s="10"/>
      <c r="AC13" s="10"/>
      <c r="AF13" s="10"/>
      <c r="AG13" s="10"/>
      <c r="AJ13" s="10"/>
      <c r="AK13" s="10"/>
      <c r="AN13" s="10"/>
      <c r="AO13" s="10"/>
      <c r="AR13" s="10"/>
      <c r="AS13" s="10"/>
      <c r="AV13" s="10"/>
      <c r="AW13" s="10"/>
      <c r="AZ13" s="10"/>
      <c r="BA13" s="10"/>
      <c r="BD13" s="10"/>
      <c r="BE13" s="10"/>
      <c r="BH13" s="10"/>
      <c r="BI13" s="10"/>
      <c r="BL13" s="10"/>
      <c r="BM13" s="10"/>
      <c r="BN13">
        <f>SUMIFS($D13:$BM13,$D$9:$BM$9,$H$1)</f>
        <v>0</v>
      </c>
      <c r="BO13">
        <f>SUMIFS($D13:$BM13,$D$9:$BM$9,$H$2)</f>
        <v>0</v>
      </c>
      <c r="BP13">
        <f>BN13-BO13</f>
        <v>0</v>
      </c>
    </row>
    <row r="14" spans="2:69">
      <c r="B14" s="6" t="s">
        <v>24</v>
      </c>
      <c r="C14" s="6" t="s">
        <v>25</v>
      </c>
      <c r="D14" s="15"/>
      <c r="E14" s="15"/>
      <c r="F14" s="9"/>
      <c r="G14" s="9"/>
      <c r="H14" s="15"/>
      <c r="I14" s="15"/>
      <c r="J14" s="9"/>
      <c r="K14" s="9"/>
      <c r="L14" s="15"/>
      <c r="M14" s="15"/>
      <c r="N14" s="9"/>
      <c r="O14" s="9"/>
      <c r="P14" s="15"/>
      <c r="Q14" s="15"/>
      <c r="R14" s="9"/>
      <c r="S14" s="9"/>
      <c r="T14" s="15"/>
      <c r="U14" s="15"/>
      <c r="V14" s="9"/>
      <c r="W14" s="9"/>
      <c r="X14" s="15"/>
      <c r="Y14" s="15"/>
      <c r="Z14" s="9"/>
      <c r="AA14" s="9"/>
      <c r="AB14" s="15"/>
      <c r="AC14" s="15"/>
      <c r="AD14" s="9"/>
      <c r="AE14" s="9"/>
      <c r="AF14" s="15"/>
      <c r="AG14" s="15"/>
      <c r="AH14" s="9"/>
      <c r="AI14" s="9"/>
      <c r="AJ14" s="15"/>
      <c r="AK14" s="15"/>
      <c r="AL14" s="9"/>
      <c r="AM14" s="9"/>
      <c r="AN14" s="15"/>
      <c r="AO14" s="15"/>
      <c r="AP14" s="9"/>
      <c r="AQ14" s="9"/>
      <c r="AR14" s="15"/>
      <c r="AS14" s="15"/>
      <c r="AT14" s="9"/>
      <c r="AU14" s="9"/>
      <c r="AV14" s="15"/>
      <c r="AW14" s="15"/>
      <c r="AX14" s="9"/>
      <c r="AY14" s="9"/>
      <c r="AZ14" s="15"/>
      <c r="BA14" s="15"/>
      <c r="BB14" s="9"/>
      <c r="BC14" s="9"/>
      <c r="BD14" s="15"/>
      <c r="BE14" s="15"/>
      <c r="BF14" s="9"/>
      <c r="BG14" s="9"/>
      <c r="BH14" s="15"/>
      <c r="BI14" s="15"/>
      <c r="BJ14" s="9"/>
      <c r="BK14" s="9"/>
      <c r="BL14" s="15"/>
      <c r="BM14" s="15"/>
      <c r="BN14">
        <f>SUMIFS($D14:$BM14,$D$9:$BM$9,$H$1)</f>
        <v>0</v>
      </c>
      <c r="BO14">
        <f>SUMIFS($D14:$BM14,$D$9:$BM$9,$H$2)</f>
        <v>0</v>
      </c>
      <c r="BP14">
        <f>BN14-BO14</f>
        <v>0</v>
      </c>
    </row>
    <row r="15" spans="2:69">
      <c r="B15" s="6" t="s">
        <v>26</v>
      </c>
      <c r="C15" s="6" t="s">
        <v>27</v>
      </c>
      <c r="D15" s="10"/>
      <c r="E15" s="15"/>
      <c r="F15" s="9"/>
      <c r="G15" s="9"/>
      <c r="H15" s="15"/>
      <c r="I15" s="15"/>
      <c r="J15" s="9"/>
      <c r="K15" s="9"/>
      <c r="L15" s="15"/>
      <c r="M15" s="15"/>
      <c r="N15" s="9"/>
      <c r="O15" s="9"/>
      <c r="P15" s="15"/>
      <c r="Q15" s="15"/>
      <c r="R15" s="9"/>
      <c r="S15" s="9"/>
      <c r="T15" s="15"/>
      <c r="U15" s="15"/>
      <c r="V15" s="9"/>
      <c r="W15" s="9"/>
      <c r="X15" s="15"/>
      <c r="Y15" s="15"/>
      <c r="Z15" s="9"/>
      <c r="AA15" s="9"/>
      <c r="AB15" s="15"/>
      <c r="AC15" s="15"/>
      <c r="AD15" s="9"/>
      <c r="AE15" s="9"/>
      <c r="AF15" s="15"/>
      <c r="AG15" s="15"/>
      <c r="AH15" s="9"/>
      <c r="AI15" s="9"/>
      <c r="AJ15" s="15"/>
      <c r="AK15" s="15"/>
      <c r="AL15" s="9"/>
      <c r="AM15" s="9"/>
      <c r="AN15" s="15"/>
      <c r="AO15" s="15"/>
      <c r="AP15" s="9"/>
      <c r="AQ15" s="9"/>
      <c r="AR15" s="15"/>
      <c r="AS15" s="15"/>
      <c r="AT15" s="9"/>
      <c r="AU15" s="9"/>
      <c r="AV15" s="15"/>
      <c r="AW15" s="15"/>
      <c r="AX15" s="9"/>
      <c r="AY15" s="9"/>
      <c r="AZ15" s="15"/>
      <c r="BA15" s="15"/>
      <c r="BB15" s="9"/>
      <c r="BC15" s="9"/>
      <c r="BD15" s="15"/>
      <c r="BE15" s="15"/>
      <c r="BF15" s="9"/>
      <c r="BG15" s="9"/>
      <c r="BH15" s="15"/>
      <c r="BI15" s="15"/>
      <c r="BJ15" s="9"/>
      <c r="BK15" s="9"/>
      <c r="BL15" s="15"/>
      <c r="BM15" s="10"/>
      <c r="BN15">
        <f>SUMIFS($D15:$BM15,$D$9:$BM$9,$H$1)</f>
        <v>0</v>
      </c>
      <c r="BO15">
        <f>SUMIFS($D15:$BM15,$D$9:$BM$9,$H$2)</f>
        <v>0</v>
      </c>
      <c r="BP15">
        <f>BN15-BO15</f>
        <v>0</v>
      </c>
    </row>
    <row r="16" spans="2:69">
      <c r="B16" s="6" t="s">
        <v>28</v>
      </c>
      <c r="C16" s="6" t="s">
        <v>27</v>
      </c>
      <c r="D16" s="10"/>
      <c r="E16" s="15"/>
      <c r="F16" s="9"/>
      <c r="G16" s="9"/>
      <c r="H16" s="15"/>
      <c r="I16" s="15"/>
      <c r="J16" s="9"/>
      <c r="K16" s="9"/>
      <c r="L16" s="15"/>
      <c r="M16" s="15"/>
      <c r="N16" s="9"/>
      <c r="O16" s="9"/>
      <c r="P16" s="15"/>
      <c r="Q16" s="15"/>
      <c r="R16" s="9"/>
      <c r="S16" s="9"/>
      <c r="T16" s="15"/>
      <c r="U16" s="15"/>
      <c r="V16" s="9"/>
      <c r="W16" s="9"/>
      <c r="X16" s="15"/>
      <c r="Y16" s="15"/>
      <c r="Z16" s="9"/>
      <c r="AA16" s="9"/>
      <c r="AB16" s="15"/>
      <c r="AC16" s="15"/>
      <c r="AD16" s="9"/>
      <c r="AE16" s="9"/>
      <c r="AF16" s="15"/>
      <c r="AG16" s="15"/>
      <c r="AH16" s="9"/>
      <c r="AI16" s="9"/>
      <c r="AJ16" s="15"/>
      <c r="AK16" s="15"/>
      <c r="AL16" s="9"/>
      <c r="AM16" s="9"/>
      <c r="AN16" s="15"/>
      <c r="AO16" s="15"/>
      <c r="AP16" s="9"/>
      <c r="AQ16" s="9"/>
      <c r="AR16" s="15"/>
      <c r="AS16" s="15"/>
      <c r="AT16" s="9"/>
      <c r="AU16" s="9"/>
      <c r="AV16" s="15"/>
      <c r="AW16" s="15"/>
      <c r="AX16" s="9"/>
      <c r="AY16" s="9"/>
      <c r="AZ16" s="15"/>
      <c r="BA16" s="15"/>
      <c r="BB16" s="9"/>
      <c r="BC16" s="9"/>
      <c r="BD16" s="15"/>
      <c r="BE16" s="15"/>
      <c r="BF16" s="9"/>
      <c r="BG16" s="9"/>
      <c r="BH16" s="15"/>
      <c r="BI16" s="15"/>
      <c r="BJ16" s="9"/>
      <c r="BK16" s="9"/>
      <c r="BL16" s="15"/>
      <c r="BM16" s="10"/>
      <c r="BN16">
        <f>SUMIFS($D16:$BM16,$D$9:$BM$9,$H$1)</f>
        <v>0</v>
      </c>
      <c r="BO16">
        <f>SUMIFS($D16:$BM16,$D$9:$BM$9,$H$2)</f>
        <v>0</v>
      </c>
      <c r="BP16">
        <f>BN16-BO16</f>
        <v>0</v>
      </c>
    </row>
    <row r="17" spans="2:68">
      <c r="B17" s="6" t="s">
        <v>29</v>
      </c>
      <c r="C17" s="6" t="s">
        <v>30</v>
      </c>
      <c r="D17" s="10"/>
      <c r="E17" s="10"/>
      <c r="H17" s="10"/>
      <c r="I17" s="10"/>
      <c r="L17" s="10"/>
      <c r="M17" s="10"/>
      <c r="P17" s="10"/>
      <c r="Q17" s="10"/>
      <c r="T17" s="10"/>
      <c r="U17" s="10"/>
      <c r="X17" s="10"/>
      <c r="Y17" s="10"/>
      <c r="AB17" s="10"/>
      <c r="AC17" s="10"/>
      <c r="AF17" s="10"/>
      <c r="AG17" s="10"/>
      <c r="AJ17" s="10"/>
      <c r="AK17" s="10"/>
      <c r="AN17" s="10"/>
      <c r="AO17" s="10"/>
      <c r="AR17" s="10"/>
      <c r="AS17" s="10"/>
      <c r="AV17" s="10"/>
      <c r="AW17" s="10"/>
      <c r="AZ17" s="10"/>
      <c r="BA17" s="10"/>
      <c r="BD17" s="10"/>
      <c r="BE17" s="10"/>
      <c r="BH17" s="10"/>
      <c r="BI17" s="10"/>
      <c r="BL17" s="10"/>
      <c r="BM17" s="10"/>
      <c r="BN17">
        <f>SUMIFS($D17:$BM17,$D$9:$BM$9,$H$1)</f>
        <v>0</v>
      </c>
      <c r="BO17">
        <f>SUMIFS($D17:$BM17,$D$9:$BM$9,$H$2)</f>
        <v>0</v>
      </c>
      <c r="BP17">
        <f>BN17-BO17</f>
        <v>0</v>
      </c>
    </row>
    <row r="18" spans="2:68">
      <c r="B18" s="6" t="s">
        <v>31</v>
      </c>
      <c r="C18" s="6" t="s">
        <v>32</v>
      </c>
      <c r="D18" s="10"/>
      <c r="E18" s="10"/>
      <c r="H18" s="10"/>
      <c r="I18" s="10"/>
      <c r="L18" s="10"/>
      <c r="M18" s="10"/>
      <c r="P18" s="10"/>
      <c r="Q18" s="10"/>
      <c r="T18" s="10"/>
      <c r="U18" s="10"/>
      <c r="X18" s="10"/>
      <c r="Y18" s="10"/>
      <c r="AB18" s="10"/>
      <c r="AC18" s="10"/>
      <c r="AF18" s="10"/>
      <c r="AG18" s="10"/>
      <c r="AJ18" s="10"/>
      <c r="AK18" s="10"/>
      <c r="AN18" s="10"/>
      <c r="AO18" s="10"/>
      <c r="AR18" s="10"/>
      <c r="AS18" s="10"/>
      <c r="AV18" s="10"/>
      <c r="AW18" s="10"/>
      <c r="AZ18" s="10"/>
      <c r="BA18" s="10"/>
      <c r="BD18" s="10"/>
      <c r="BE18" s="10"/>
      <c r="BH18" s="10"/>
      <c r="BI18" s="10"/>
      <c r="BL18" s="10"/>
      <c r="BM18" s="10"/>
      <c r="BN18">
        <f>SUMIFS($D18:$BM18,$D$9:$BM$9,$H$1)</f>
        <v>0</v>
      </c>
      <c r="BO18">
        <f>SUMIFS($D18:$BM18,$D$9:$BM$9,$H$2)</f>
        <v>0</v>
      </c>
      <c r="BP18">
        <f>BN18-BO18</f>
        <v>0</v>
      </c>
    </row>
    <row r="19" spans="2:68">
      <c r="B19" s="6" t="s">
        <v>33</v>
      </c>
      <c r="C19" s="6" t="s">
        <v>34</v>
      </c>
      <c r="D19" s="10"/>
      <c r="E19" s="10"/>
      <c r="H19" s="10"/>
      <c r="I19" s="10"/>
      <c r="L19" s="10"/>
      <c r="M19" s="10"/>
      <c r="P19" s="10"/>
      <c r="Q19" s="10"/>
      <c r="T19" s="10"/>
      <c r="U19" s="10"/>
      <c r="X19" s="10"/>
      <c r="Y19" s="10"/>
      <c r="AB19" s="10"/>
      <c r="AC19" s="10"/>
      <c r="AF19" s="10"/>
      <c r="AG19" s="10"/>
      <c r="AJ19" s="10"/>
      <c r="AK19" s="10"/>
      <c r="AN19" s="10"/>
      <c r="AO19" s="10"/>
      <c r="AR19" s="10"/>
      <c r="AS19" s="10"/>
      <c r="AV19" s="10"/>
      <c r="AW19" s="10"/>
      <c r="AZ19" s="10"/>
      <c r="BA19" s="10"/>
      <c r="BD19" s="10"/>
      <c r="BE19" s="10"/>
      <c r="BH19" s="10"/>
      <c r="BI19" s="10"/>
      <c r="BL19" s="10"/>
      <c r="BM19" s="10"/>
      <c r="BN19">
        <f>SUMIFS($D19:$BM19,$D$9:$BM$9,$H$1)</f>
        <v>0</v>
      </c>
      <c r="BO19">
        <f>SUMIFS($D19:$BM19,$D$9:$BM$9,$H$2)</f>
        <v>0</v>
      </c>
      <c r="BP19">
        <f>BN19-BO19</f>
        <v>0</v>
      </c>
    </row>
    <row r="20" spans="2:68">
      <c r="B20" s="6" t="s">
        <v>35</v>
      </c>
      <c r="C20" s="6" t="s">
        <v>36</v>
      </c>
      <c r="D20" s="10"/>
      <c r="E20" s="15"/>
      <c r="F20" s="9"/>
      <c r="G20" s="9"/>
      <c r="H20" s="15"/>
      <c r="I20" s="15"/>
      <c r="J20" s="9"/>
      <c r="K20" s="9"/>
      <c r="L20" s="15"/>
      <c r="M20" s="15"/>
      <c r="N20" s="9"/>
      <c r="O20" s="9"/>
      <c r="P20" s="15"/>
      <c r="Q20" s="15"/>
      <c r="R20" s="9"/>
      <c r="S20" s="9"/>
      <c r="T20" s="15"/>
      <c r="U20" s="15"/>
      <c r="V20" s="9"/>
      <c r="W20" s="9"/>
      <c r="X20" s="15"/>
      <c r="Y20" s="15"/>
      <c r="Z20" s="9"/>
      <c r="AA20" s="9"/>
      <c r="AB20" s="15"/>
      <c r="AC20" s="15"/>
      <c r="AD20" s="9"/>
      <c r="AE20" s="9"/>
      <c r="AF20" s="15"/>
      <c r="AG20" s="15"/>
      <c r="AH20" s="9"/>
      <c r="AI20" s="9"/>
      <c r="AJ20" s="15"/>
      <c r="AK20" s="15"/>
      <c r="AL20" s="9"/>
      <c r="AM20" s="9"/>
      <c r="AN20" s="15"/>
      <c r="AO20" s="15"/>
      <c r="AP20" s="9"/>
      <c r="AQ20" s="9"/>
      <c r="AR20" s="15"/>
      <c r="AS20" s="15"/>
      <c r="AT20" s="9"/>
      <c r="AU20" s="9"/>
      <c r="AV20" s="15"/>
      <c r="AW20" s="15"/>
      <c r="AX20" s="9"/>
      <c r="AY20" s="9"/>
      <c r="AZ20" s="15"/>
      <c r="BA20" s="15"/>
      <c r="BB20" s="9"/>
      <c r="BC20" s="9"/>
      <c r="BD20" s="15"/>
      <c r="BE20" s="15"/>
      <c r="BF20" s="9"/>
      <c r="BG20" s="9"/>
      <c r="BH20" s="15"/>
      <c r="BI20" s="15"/>
      <c r="BJ20" s="9"/>
      <c r="BK20" s="9"/>
      <c r="BL20" s="15"/>
      <c r="BM20" s="10"/>
      <c r="BN20">
        <f>SUMIFS($D20:$BM20,$D$9:$BM$9,$H$1)</f>
        <v>0</v>
      </c>
      <c r="BO20">
        <f>SUMIFS($D20:$BM20,$D$9:$BM$9,$H$2)</f>
        <v>0</v>
      </c>
      <c r="BP20">
        <f>BN20-BO20</f>
        <v>0</v>
      </c>
    </row>
    <row r="21" spans="2:68">
      <c r="B21" s="6" t="s">
        <v>37</v>
      </c>
      <c r="C21" s="6" t="s">
        <v>38</v>
      </c>
      <c r="D21" s="10"/>
      <c r="E21" s="10"/>
      <c r="H21" s="10"/>
      <c r="I21" s="10"/>
      <c r="L21" s="10"/>
      <c r="M21" s="10"/>
      <c r="P21" s="10"/>
      <c r="Q21" s="10"/>
      <c r="T21" s="10"/>
      <c r="U21" s="10"/>
      <c r="X21" s="10"/>
      <c r="Y21" s="10"/>
      <c r="AB21" s="10"/>
      <c r="AC21" s="10"/>
      <c r="AF21" s="10"/>
      <c r="AG21" s="10"/>
      <c r="AJ21" s="10"/>
      <c r="AK21" s="10"/>
      <c r="AN21" s="10"/>
      <c r="AO21" s="10"/>
      <c r="AR21" s="10"/>
      <c r="AS21" s="10"/>
      <c r="AV21" s="10"/>
      <c r="AW21" s="10"/>
      <c r="AZ21" s="10"/>
      <c r="BA21" s="10"/>
      <c r="BD21" s="10"/>
      <c r="BE21" s="10"/>
      <c r="BH21" s="10"/>
      <c r="BI21" s="10"/>
      <c r="BL21" s="10"/>
      <c r="BM21" s="10"/>
      <c r="BN21">
        <f>SUMIFS($D21:$BM21,$D$9:$BM$9,$H$1)</f>
        <v>0</v>
      </c>
      <c r="BO21">
        <f>SUMIFS($D21:$BM21,$D$9:$BM$9,$H$2)</f>
        <v>0</v>
      </c>
      <c r="BP21">
        <f>BN21-BO21</f>
        <v>0</v>
      </c>
    </row>
    <row r="22" spans="2:68">
      <c r="B22" s="6" t="s">
        <v>39</v>
      </c>
      <c r="C22" s="6" t="s">
        <v>40</v>
      </c>
      <c r="D22" s="10"/>
      <c r="E22" s="10"/>
      <c r="H22" s="10"/>
      <c r="I22" s="10"/>
      <c r="L22" s="10"/>
      <c r="M22" s="10"/>
      <c r="P22" s="10"/>
      <c r="Q22" s="10"/>
      <c r="T22" s="10"/>
      <c r="U22" s="10"/>
      <c r="X22" s="10"/>
      <c r="Y22" s="10"/>
      <c r="AB22" s="10"/>
      <c r="AC22" s="10"/>
      <c r="AF22" s="10"/>
      <c r="AG22" s="10"/>
      <c r="AJ22" s="10"/>
      <c r="AK22" s="10"/>
      <c r="AN22" s="10"/>
      <c r="AO22" s="10"/>
      <c r="AR22" s="10"/>
      <c r="AS22" s="10"/>
      <c r="AV22" s="10"/>
      <c r="AW22" s="10"/>
      <c r="AZ22" s="10"/>
      <c r="BA22" s="10"/>
      <c r="BD22" s="10"/>
      <c r="BE22" s="10"/>
      <c r="BH22" s="10"/>
      <c r="BI22" s="10"/>
      <c r="BL22" s="10"/>
      <c r="BM22" s="10"/>
      <c r="BN22">
        <f>SUMIFS($D22:$BM22,$D$9:$BM$9,$H$1)</f>
        <v>0</v>
      </c>
      <c r="BO22">
        <f>SUMIFS($D22:$BM22,$D$9:$BM$9,$H$2)</f>
        <v>0</v>
      </c>
      <c r="BP22">
        <f>BN22-BO22</f>
        <v>0</v>
      </c>
    </row>
    <row r="23" spans="2:68">
      <c r="B23" s="6" t="s">
        <v>41</v>
      </c>
      <c r="C23" s="6" t="s">
        <v>42</v>
      </c>
      <c r="D23" s="10"/>
      <c r="E23" s="10"/>
      <c r="H23" s="10"/>
      <c r="I23" s="10"/>
      <c r="L23" s="10"/>
      <c r="M23" s="10"/>
      <c r="P23" s="10"/>
      <c r="Q23" s="10"/>
      <c r="T23" s="10"/>
      <c r="U23" s="10"/>
      <c r="X23" s="10"/>
      <c r="Y23" s="10"/>
      <c r="AB23" s="10"/>
      <c r="AC23" s="10"/>
      <c r="AF23" s="10"/>
      <c r="AG23" s="10"/>
      <c r="AJ23" s="10"/>
      <c r="AK23" s="10"/>
      <c r="AN23" s="10"/>
      <c r="AO23" s="10"/>
      <c r="AR23" s="10"/>
      <c r="AS23" s="10"/>
      <c r="AV23" s="10"/>
      <c r="AW23" s="10"/>
      <c r="AZ23" s="10"/>
      <c r="BA23" s="10"/>
      <c r="BD23" s="10"/>
      <c r="BE23" s="10"/>
      <c r="BH23" s="10"/>
      <c r="BI23" s="10"/>
      <c r="BL23" s="10"/>
      <c r="BM23" s="10"/>
      <c r="BN23">
        <f>SUMIFS($D23:$BM23,$D$9:$BM$9,$H$1)</f>
        <v>0</v>
      </c>
      <c r="BO23">
        <f>SUMIFS($D23:$BM23,$D$9:$BM$9,$H$2)</f>
        <v>0</v>
      </c>
      <c r="BP23">
        <f>BN23-BO23</f>
        <v>0</v>
      </c>
    </row>
    <row r="24" spans="2:68">
      <c r="B24" s="6" t="s">
        <v>43</v>
      </c>
      <c r="C24" s="6" t="s">
        <v>44</v>
      </c>
      <c r="D24" s="10"/>
      <c r="E24" s="10"/>
      <c r="H24" s="10"/>
      <c r="I24" s="10"/>
      <c r="L24" s="10"/>
      <c r="M24" s="10"/>
      <c r="P24" s="10"/>
      <c r="Q24" s="10"/>
      <c r="T24" s="10"/>
      <c r="U24" s="10"/>
      <c r="X24" s="10"/>
      <c r="Y24" s="10"/>
      <c r="AB24" s="10"/>
      <c r="AC24" s="10"/>
      <c r="AF24" s="10"/>
      <c r="AG24" s="10"/>
      <c r="AJ24" s="10"/>
      <c r="AK24" s="10"/>
      <c r="AN24" s="10"/>
      <c r="AO24" s="10"/>
      <c r="AR24" s="10"/>
      <c r="AS24" s="10"/>
      <c r="AV24" s="10"/>
      <c r="AW24" s="10"/>
      <c r="AZ24" s="10"/>
      <c r="BA24" s="10"/>
      <c r="BD24" s="10"/>
      <c r="BE24" s="10"/>
      <c r="BH24" s="10"/>
      <c r="BI24" s="10"/>
      <c r="BL24" s="10"/>
      <c r="BM24" s="10"/>
      <c r="BN24">
        <f>SUMIFS($D24:$BM24,$D$9:$BM$9,$H$1)</f>
        <v>0</v>
      </c>
      <c r="BO24">
        <f>SUMIFS($D24:$BM24,$D$9:$BM$9,$H$2)</f>
        <v>0</v>
      </c>
      <c r="BP24">
        <f>BN24-BO24</f>
        <v>0</v>
      </c>
    </row>
    <row r="25" spans="2:68">
      <c r="B25" s="6" t="s">
        <v>45</v>
      </c>
      <c r="C25" s="6" t="s">
        <v>46</v>
      </c>
      <c r="D25" s="10"/>
      <c r="E25" s="10"/>
      <c r="H25" s="10"/>
      <c r="I25" s="10"/>
      <c r="L25" s="10"/>
      <c r="M25" s="10"/>
      <c r="P25" s="10"/>
      <c r="Q25" s="10"/>
      <c r="T25" s="10"/>
      <c r="U25" s="10"/>
      <c r="X25" s="10"/>
      <c r="Y25" s="10"/>
      <c r="AB25" s="10"/>
      <c r="AC25" s="10"/>
      <c r="AF25" s="10"/>
      <c r="AG25" s="10"/>
      <c r="AJ25" s="10"/>
      <c r="AK25" s="10"/>
      <c r="AN25" s="10"/>
      <c r="AO25" s="10"/>
      <c r="AR25" s="10"/>
      <c r="AS25" s="10"/>
      <c r="AV25" s="10"/>
      <c r="AW25" s="10"/>
      <c r="AZ25" s="10"/>
      <c r="BA25" s="10"/>
      <c r="BD25" s="10"/>
      <c r="BE25" s="10"/>
      <c r="BH25" s="10"/>
      <c r="BI25" s="10"/>
      <c r="BL25" s="10"/>
      <c r="BM25" s="10"/>
      <c r="BN25">
        <f>SUMIFS($D25:$BM25,$D$9:$BM$9,$H$1)</f>
        <v>0</v>
      </c>
      <c r="BO25">
        <f>SUMIFS($D25:$BM25,$D$9:$BM$9,$H$2)</f>
        <v>0</v>
      </c>
      <c r="BP25">
        <f>BN25-BO25</f>
        <v>0</v>
      </c>
    </row>
    <row r="26" spans="2:68">
      <c r="B26" s="6" t="s">
        <v>47</v>
      </c>
      <c r="C26" s="6" t="s">
        <v>48</v>
      </c>
      <c r="D26" s="10"/>
      <c r="E26" s="10"/>
      <c r="H26" s="10"/>
      <c r="I26" s="10"/>
      <c r="L26" s="10"/>
      <c r="M26" s="10"/>
      <c r="P26" s="10"/>
      <c r="Q26" s="10"/>
      <c r="T26" s="10"/>
      <c r="U26" s="10"/>
      <c r="X26" s="10"/>
      <c r="Y26" s="10"/>
      <c r="AB26" s="10"/>
      <c r="AC26" s="10"/>
      <c r="AF26" s="10"/>
      <c r="AG26" s="10"/>
      <c r="AJ26" s="10"/>
      <c r="AK26" s="10"/>
      <c r="AN26" s="10"/>
      <c r="AO26" s="10"/>
      <c r="AR26" s="10"/>
      <c r="AS26" s="10"/>
      <c r="AV26" s="10"/>
      <c r="AW26" s="10"/>
      <c r="AZ26" s="10"/>
      <c r="BA26" s="10"/>
      <c r="BD26" s="10"/>
      <c r="BE26" s="10"/>
      <c r="BH26" s="10"/>
      <c r="BI26" s="10"/>
      <c r="BL26" s="10"/>
      <c r="BM26" s="10"/>
      <c r="BN26">
        <f>SUMIFS($D26:$BM26,$D$9:$BM$9,$H$1)</f>
        <v>0</v>
      </c>
      <c r="BO26">
        <f>SUMIFS($D26:$BM26,$D$9:$BM$9,$H$2)</f>
        <v>0</v>
      </c>
      <c r="BP26">
        <f>BN26-BO26</f>
        <v>0</v>
      </c>
    </row>
    <row r="27" spans="2:68">
      <c r="B27" s="6" t="s">
        <v>49</v>
      </c>
      <c r="C27" s="6" t="s">
        <v>50</v>
      </c>
      <c r="D27" s="10"/>
      <c r="E27" s="10"/>
      <c r="H27" s="10"/>
      <c r="I27" s="10"/>
      <c r="L27" s="10"/>
      <c r="M27" s="10"/>
      <c r="P27" s="10"/>
      <c r="Q27" s="10"/>
      <c r="T27" s="10"/>
      <c r="U27" s="10"/>
      <c r="X27" s="10"/>
      <c r="Y27" s="10"/>
      <c r="AB27" s="10"/>
      <c r="AC27" s="10"/>
      <c r="AF27" s="10"/>
      <c r="AG27" s="10"/>
      <c r="AJ27" s="10"/>
      <c r="AK27" s="10"/>
      <c r="AN27" s="10"/>
      <c r="AO27" s="10"/>
      <c r="AR27" s="10"/>
      <c r="AS27" s="10"/>
      <c r="AV27" s="10"/>
      <c r="AW27" s="10"/>
      <c r="AZ27" s="10"/>
      <c r="BA27" s="10"/>
      <c r="BD27" s="10"/>
      <c r="BE27" s="10"/>
      <c r="BH27" s="10"/>
      <c r="BI27" s="10"/>
      <c r="BL27" s="10"/>
      <c r="BM27" s="10"/>
      <c r="BN27">
        <f>SUMIFS($D27:$BM27,$D$9:$BM$9,$H$1)</f>
        <v>0</v>
      </c>
      <c r="BO27">
        <f>SUMIFS($D27:$BM27,$D$9:$BM$9,$H$2)</f>
        <v>0</v>
      </c>
      <c r="BP27">
        <f>BN27-BO27</f>
        <v>0</v>
      </c>
    </row>
    <row r="28" spans="2:68">
      <c r="B28" s="6" t="s">
        <v>51</v>
      </c>
      <c r="C28" s="6" t="s">
        <v>50</v>
      </c>
      <c r="D28" s="10"/>
      <c r="E28" s="10"/>
      <c r="H28" s="10"/>
      <c r="I28" s="10"/>
      <c r="L28" s="10"/>
      <c r="M28" s="10"/>
      <c r="P28" s="10"/>
      <c r="Q28" s="10"/>
      <c r="T28" s="10"/>
      <c r="U28" s="10"/>
      <c r="X28" s="10"/>
      <c r="Y28" s="10"/>
      <c r="AB28" s="10"/>
      <c r="AC28" s="10"/>
      <c r="AF28" s="10"/>
      <c r="AG28" s="10"/>
      <c r="AJ28" s="10"/>
      <c r="AK28" s="10"/>
      <c r="AN28" s="10"/>
      <c r="AO28" s="10"/>
      <c r="AR28" s="10"/>
      <c r="AS28" s="10"/>
      <c r="AV28" s="10"/>
      <c r="AW28" s="10"/>
      <c r="AZ28" s="10"/>
      <c r="BA28" s="10"/>
      <c r="BD28" s="10"/>
      <c r="BE28" s="10"/>
      <c r="BH28" s="10"/>
      <c r="BI28" s="10"/>
      <c r="BL28" s="10"/>
      <c r="BM28" s="10"/>
      <c r="BN28">
        <f>SUMIFS($D28:$BM28,$D$9:$BM$9,$H$1)</f>
        <v>0</v>
      </c>
      <c r="BO28">
        <f>SUMIFS($D28:$BM28,$D$9:$BM$9,$H$2)</f>
        <v>0</v>
      </c>
      <c r="BP28">
        <f>BN28-BO28</f>
        <v>0</v>
      </c>
    </row>
    <row r="29" spans="2:68">
      <c r="B29" s="6" t="s">
        <v>52</v>
      </c>
      <c r="C29" s="6" t="s">
        <v>50</v>
      </c>
      <c r="D29" s="10"/>
      <c r="E29" s="15"/>
      <c r="F29" s="9"/>
      <c r="G29" s="9"/>
      <c r="H29" s="15"/>
      <c r="I29" s="15"/>
      <c r="J29" s="9"/>
      <c r="K29" s="9"/>
      <c r="L29" s="15"/>
      <c r="M29" s="15"/>
      <c r="N29" s="9"/>
      <c r="O29" s="9"/>
      <c r="P29" s="15"/>
      <c r="Q29" s="15"/>
      <c r="R29" s="9"/>
      <c r="S29" s="9"/>
      <c r="T29" s="15"/>
      <c r="U29" s="15"/>
      <c r="V29" s="9"/>
      <c r="W29" s="9"/>
      <c r="X29" s="15"/>
      <c r="Y29" s="15"/>
      <c r="Z29" s="9"/>
      <c r="AA29" s="9"/>
      <c r="AB29" s="15"/>
      <c r="AC29" s="15"/>
      <c r="AD29" s="9"/>
      <c r="AE29" s="9"/>
      <c r="AF29" s="15"/>
      <c r="AG29" s="15"/>
      <c r="AH29" s="9"/>
      <c r="AI29" s="9"/>
      <c r="AJ29" s="15"/>
      <c r="AK29" s="15"/>
      <c r="AL29" s="9"/>
      <c r="AM29" s="9"/>
      <c r="AN29" s="15"/>
      <c r="AO29" s="15"/>
      <c r="AP29" s="9"/>
      <c r="AQ29" s="9"/>
      <c r="AR29" s="15"/>
      <c r="AS29" s="15"/>
      <c r="AT29" s="9"/>
      <c r="AU29" s="9"/>
      <c r="AV29" s="15"/>
      <c r="AW29" s="15"/>
      <c r="AX29" s="9"/>
      <c r="AY29" s="9"/>
      <c r="AZ29" s="15"/>
      <c r="BA29" s="15"/>
      <c r="BB29" s="9"/>
      <c r="BC29" s="9"/>
      <c r="BD29" s="15"/>
      <c r="BE29" s="15"/>
      <c r="BF29" s="9"/>
      <c r="BG29" s="9"/>
      <c r="BH29" s="15"/>
      <c r="BI29" s="15"/>
      <c r="BJ29" s="9"/>
      <c r="BK29" s="9"/>
      <c r="BL29" s="15"/>
      <c r="BM29" s="10"/>
      <c r="BN29">
        <f>SUMIFS($D29:$BM29,$D$9:$BM$9,$H$1)</f>
        <v>0</v>
      </c>
      <c r="BO29">
        <f>SUMIFS($D29:$BM29,$D$9:$BM$9,$H$2)</f>
        <v>0</v>
      </c>
      <c r="BP29">
        <f>BN29-BO29</f>
        <v>0</v>
      </c>
    </row>
    <row r="30" spans="2:68">
      <c r="B30" s="6" t="s">
        <v>53</v>
      </c>
      <c r="C30" s="6" t="s">
        <v>54</v>
      </c>
      <c r="D30" s="10"/>
      <c r="E30" s="10"/>
      <c r="H30" s="10"/>
      <c r="I30" s="10"/>
      <c r="L30" s="10"/>
      <c r="M30" s="10"/>
      <c r="P30" s="10"/>
      <c r="Q30" s="10"/>
      <c r="T30" s="10"/>
      <c r="U30" s="10"/>
      <c r="X30" s="10"/>
      <c r="Y30" s="10"/>
      <c r="AB30" s="10"/>
      <c r="AC30" s="10"/>
      <c r="AF30" s="10"/>
      <c r="AG30" s="10"/>
      <c r="AJ30" s="10"/>
      <c r="AK30" s="10"/>
      <c r="AN30" s="10"/>
      <c r="AO30" s="10"/>
      <c r="AR30" s="10"/>
      <c r="AS30" s="10"/>
      <c r="AV30" s="10"/>
      <c r="AW30" s="10"/>
      <c r="AZ30" s="10"/>
      <c r="BA30" s="10"/>
      <c r="BD30" s="10"/>
      <c r="BE30" s="10"/>
      <c r="BH30" s="10"/>
      <c r="BI30" s="10"/>
      <c r="BL30" s="10"/>
      <c r="BM30" s="10"/>
      <c r="BN30">
        <f>SUMIFS($D30:$BM30,$D$9:$BM$9,$H$1)</f>
        <v>0</v>
      </c>
      <c r="BO30">
        <f>SUMIFS($D30:$BM30,$D$9:$BM$9,$H$2)</f>
        <v>0</v>
      </c>
      <c r="BP30">
        <f>BN30-BO30</f>
        <v>0</v>
      </c>
    </row>
    <row r="31" spans="2:68">
      <c r="B31" s="6" t="s">
        <v>55</v>
      </c>
      <c r="C31" s="6" t="s">
        <v>56</v>
      </c>
      <c r="D31" s="10"/>
      <c r="E31" s="10"/>
      <c r="H31" s="10"/>
      <c r="I31" s="10"/>
      <c r="L31" s="10"/>
      <c r="M31" s="10"/>
      <c r="P31" s="10"/>
      <c r="Q31" s="10"/>
      <c r="T31" s="10"/>
      <c r="U31" s="10"/>
      <c r="X31" s="10"/>
      <c r="Y31" s="10"/>
      <c r="AB31" s="10"/>
      <c r="AC31" s="10"/>
      <c r="AF31" s="10"/>
      <c r="AG31" s="10"/>
      <c r="AJ31" s="10"/>
      <c r="AK31" s="10"/>
      <c r="AN31" s="10"/>
      <c r="AO31" s="10"/>
      <c r="AR31" s="10"/>
      <c r="AS31" s="10"/>
      <c r="AV31" s="10"/>
      <c r="AW31" s="10"/>
      <c r="AZ31" s="10"/>
      <c r="BA31" s="10"/>
      <c r="BD31" s="10"/>
      <c r="BE31" s="10"/>
      <c r="BH31" s="10"/>
      <c r="BI31" s="10"/>
      <c r="BL31" s="10"/>
      <c r="BM31" s="10"/>
      <c r="BN31">
        <f>SUMIFS($D31:$BM31,$D$9:$BM$9,$H$1)</f>
        <v>0</v>
      </c>
      <c r="BO31">
        <f>SUMIFS($D31:$BM31,$D$9:$BM$9,$H$2)</f>
        <v>0</v>
      </c>
      <c r="BP31">
        <f>BN31-BO31</f>
        <v>0</v>
      </c>
    </row>
    <row r="32" spans="2:68">
      <c r="B32" s="6" t="s">
        <v>57</v>
      </c>
      <c r="C32" s="6" t="s">
        <v>56</v>
      </c>
      <c r="D32" s="10"/>
      <c r="E32" s="10"/>
      <c r="H32" s="10"/>
      <c r="I32" s="10"/>
      <c r="L32" s="10"/>
      <c r="M32" s="10"/>
      <c r="P32" s="10"/>
      <c r="Q32" s="10"/>
      <c r="T32" s="10"/>
      <c r="U32" s="10"/>
      <c r="X32" s="10"/>
      <c r="Y32" s="10"/>
      <c r="AB32" s="10"/>
      <c r="AC32" s="10"/>
      <c r="AF32" s="10"/>
      <c r="AG32" s="10"/>
      <c r="AJ32" s="10"/>
      <c r="AK32" s="10"/>
      <c r="AN32" s="10"/>
      <c r="AO32" s="10"/>
      <c r="AR32" s="10"/>
      <c r="AS32" s="10"/>
      <c r="AV32" s="10"/>
      <c r="AW32" s="10"/>
      <c r="AZ32" s="10"/>
      <c r="BA32" s="10"/>
      <c r="BD32" s="10"/>
      <c r="BE32" s="10"/>
      <c r="BH32" s="10"/>
      <c r="BI32" s="10"/>
      <c r="BL32" s="10"/>
      <c r="BM32" s="10"/>
      <c r="BN32">
        <f>SUMIFS($D32:$BM32,$D$9:$BM$9,$H$1)</f>
        <v>0</v>
      </c>
      <c r="BO32">
        <f>SUMIFS($D32:$BM32,$D$9:$BM$9,$H$2)</f>
        <v>0</v>
      </c>
      <c r="BP32">
        <f>BN32-BO32</f>
        <v>0</v>
      </c>
    </row>
    <row r="33" spans="2:68">
      <c r="B33" s="6" t="s">
        <v>58</v>
      </c>
      <c r="C33" s="6" t="s">
        <v>56</v>
      </c>
      <c r="D33" s="10"/>
      <c r="E33" s="10"/>
      <c r="H33" s="10"/>
      <c r="I33" s="10"/>
      <c r="L33" s="10"/>
      <c r="M33" s="10"/>
      <c r="P33" s="10"/>
      <c r="Q33" s="10"/>
      <c r="T33" s="10"/>
      <c r="U33" s="10"/>
      <c r="X33" s="10"/>
      <c r="Y33" s="10"/>
      <c r="AB33" s="10"/>
      <c r="AC33" s="10"/>
      <c r="AF33" s="10"/>
      <c r="AG33" s="10"/>
      <c r="AJ33" s="10"/>
      <c r="AK33" s="10"/>
      <c r="AN33" s="10"/>
      <c r="AO33" s="10"/>
      <c r="AR33" s="10"/>
      <c r="AS33" s="10"/>
      <c r="AV33" s="10"/>
      <c r="AW33" s="10"/>
      <c r="AZ33" s="10"/>
      <c r="BA33" s="10"/>
      <c r="BD33" s="10"/>
      <c r="BE33" s="10"/>
      <c r="BH33" s="10"/>
      <c r="BI33" s="10"/>
      <c r="BL33" s="10"/>
      <c r="BM33" s="10"/>
      <c r="BN33">
        <f>SUMIFS($D33:$BM33,$D$9:$BM$9,$H$1)</f>
        <v>0</v>
      </c>
      <c r="BO33">
        <f>SUMIFS($D33:$BM33,$D$9:$BM$9,$H$2)</f>
        <v>0</v>
      </c>
      <c r="BP33">
        <f>BN33-BO33</f>
        <v>0</v>
      </c>
    </row>
    <row r="34" spans="2:68">
      <c r="B34" s="6" t="s">
        <v>59</v>
      </c>
      <c r="C34" s="6" t="s">
        <v>56</v>
      </c>
      <c r="D34" s="10"/>
      <c r="E34" s="10"/>
      <c r="H34" s="10"/>
      <c r="I34" s="10"/>
      <c r="L34" s="10"/>
      <c r="M34" s="10"/>
      <c r="P34" s="10"/>
      <c r="Q34" s="10"/>
      <c r="T34" s="10"/>
      <c r="U34" s="10"/>
      <c r="X34" s="10"/>
      <c r="Y34" s="10"/>
      <c r="AB34" s="10"/>
      <c r="AC34" s="10"/>
      <c r="AF34" s="10"/>
      <c r="AG34" s="10"/>
      <c r="AJ34" s="10"/>
      <c r="AK34" s="10"/>
      <c r="AN34" s="10"/>
      <c r="AO34" s="10"/>
      <c r="AR34" s="10"/>
      <c r="AS34" s="10"/>
      <c r="AV34" s="10"/>
      <c r="AW34" s="10"/>
      <c r="AZ34" s="10"/>
      <c r="BA34" s="10"/>
      <c r="BD34" s="10"/>
      <c r="BE34" s="10"/>
      <c r="BH34" s="10"/>
      <c r="BI34" s="10"/>
      <c r="BL34" s="10"/>
      <c r="BM34" s="10"/>
      <c r="BN34">
        <f>SUMIFS($D34:$BM34,$D$9:$BM$9,$H$1)</f>
        <v>0</v>
      </c>
      <c r="BO34">
        <f>SUMIFS($D34:$BM34,$D$9:$BM$9,$H$2)</f>
        <v>0</v>
      </c>
      <c r="BP34">
        <f>BN34-BO34</f>
        <v>0</v>
      </c>
    </row>
    <row r="35" spans="2:68">
      <c r="B35" s="6" t="s">
        <v>60</v>
      </c>
      <c r="C35" s="6" t="s">
        <v>61</v>
      </c>
      <c r="D35" s="10"/>
      <c r="E35" s="10"/>
      <c r="H35" s="10"/>
      <c r="I35" s="10"/>
      <c r="L35" s="10"/>
      <c r="M35" s="10"/>
      <c r="P35" s="10"/>
      <c r="Q35" s="10"/>
      <c r="T35" s="10"/>
      <c r="U35" s="10"/>
      <c r="X35" s="10"/>
      <c r="Y35" s="10"/>
      <c r="AB35" s="10"/>
      <c r="AC35" s="10"/>
      <c r="AF35" s="10"/>
      <c r="AG35" s="10"/>
      <c r="AJ35" s="10"/>
      <c r="AK35" s="10"/>
      <c r="AN35" s="10"/>
      <c r="AO35" s="10"/>
      <c r="AR35" s="10"/>
      <c r="AS35" s="10"/>
      <c r="AV35" s="10"/>
      <c r="AW35" s="10"/>
      <c r="AZ35" s="10"/>
      <c r="BA35" s="10"/>
      <c r="BD35" s="10"/>
      <c r="BE35" s="10"/>
      <c r="BH35" s="10"/>
      <c r="BI35" s="10"/>
      <c r="BL35" s="10"/>
      <c r="BM35" s="10"/>
      <c r="BN35">
        <f>SUMIFS($D35:$BM35,$D$9:$BM$9,$H$1)</f>
        <v>0</v>
      </c>
      <c r="BO35">
        <f>SUMIFS($D35:$BM35,$D$9:$BM$9,$H$2)</f>
        <v>0</v>
      </c>
      <c r="BP35">
        <f>BN35-BO35</f>
        <v>0</v>
      </c>
    </row>
    <row r="36" spans="2:68">
      <c r="B36" s="6" t="s">
        <v>62</v>
      </c>
      <c r="C36" s="6" t="s">
        <v>63</v>
      </c>
      <c r="D36" s="10"/>
      <c r="E36" s="10"/>
      <c r="H36" s="10"/>
      <c r="I36" s="10"/>
      <c r="L36" s="10"/>
      <c r="M36" s="10"/>
      <c r="P36" s="10"/>
      <c r="Q36" s="10"/>
      <c r="T36" s="10"/>
      <c r="U36" s="10"/>
      <c r="X36" s="10"/>
      <c r="Y36" s="10"/>
      <c r="AB36" s="10"/>
      <c r="AC36" s="10"/>
      <c r="AF36" s="10"/>
      <c r="AG36" s="10"/>
      <c r="AJ36" s="10"/>
      <c r="AK36" s="10"/>
      <c r="AN36" s="10"/>
      <c r="AO36" s="10"/>
      <c r="AR36" s="10"/>
      <c r="AS36" s="10"/>
      <c r="AV36" s="10"/>
      <c r="AW36" s="10"/>
      <c r="AZ36" s="10"/>
      <c r="BA36" s="10"/>
      <c r="BD36" s="10"/>
      <c r="BE36" s="10"/>
      <c r="BH36" s="10"/>
      <c r="BI36" s="10"/>
      <c r="BL36" s="10"/>
      <c r="BM36" s="10"/>
      <c r="BN36">
        <f>SUMIFS($D36:$BM36,$D$9:$BM$9,$H$1)</f>
        <v>0</v>
      </c>
      <c r="BO36">
        <f>SUMIFS($D36:$BM36,$D$9:$BM$9,$H$2)</f>
        <v>0</v>
      </c>
      <c r="BP36">
        <f>BN36-BO36</f>
        <v>0</v>
      </c>
    </row>
    <row r="37" spans="2:68">
      <c r="B37" s="6" t="s">
        <v>64</v>
      </c>
      <c r="C37" s="6" t="s">
        <v>63</v>
      </c>
      <c r="D37" s="10"/>
      <c r="E37" s="10"/>
      <c r="H37" s="10"/>
      <c r="I37" s="10"/>
      <c r="L37" s="10"/>
      <c r="M37" s="10"/>
      <c r="P37" s="10"/>
      <c r="Q37" s="10"/>
      <c r="T37" s="10"/>
      <c r="U37" s="10"/>
      <c r="X37" s="10"/>
      <c r="Y37" s="10"/>
      <c r="AB37" s="10"/>
      <c r="AC37" s="10"/>
      <c r="AF37" s="10"/>
      <c r="AG37" s="10"/>
      <c r="AJ37" s="10"/>
      <c r="AK37" s="10"/>
      <c r="AN37" s="10"/>
      <c r="AO37" s="10"/>
      <c r="AR37" s="10"/>
      <c r="AS37" s="10"/>
      <c r="AV37" s="10"/>
      <c r="AW37" s="10"/>
      <c r="AZ37" s="10"/>
      <c r="BA37" s="10"/>
      <c r="BD37" s="10"/>
      <c r="BE37" s="10"/>
      <c r="BH37" s="10"/>
      <c r="BI37" s="10"/>
      <c r="BL37" s="10"/>
      <c r="BM37" s="10"/>
      <c r="BN37">
        <f>SUMIFS($D37:$BM37,$D$9:$BM$9,$H$1)</f>
        <v>0</v>
      </c>
      <c r="BO37">
        <f>SUMIFS($D37:$BM37,$D$9:$BM$9,$H$2)</f>
        <v>0</v>
      </c>
      <c r="BP37">
        <f>BN37-BO37</f>
        <v>0</v>
      </c>
    </row>
    <row r="38" spans="2:68">
      <c r="B38" s="6" t="s">
        <v>65</v>
      </c>
      <c r="C38" s="6" t="s">
        <v>66</v>
      </c>
      <c r="D38" s="10"/>
      <c r="E38" s="10"/>
      <c r="H38" s="10"/>
      <c r="I38" s="10"/>
      <c r="L38" s="10"/>
      <c r="M38" s="10"/>
      <c r="P38" s="10"/>
      <c r="Q38" s="10"/>
      <c r="T38" s="10"/>
      <c r="U38" s="10"/>
      <c r="X38" s="10"/>
      <c r="Y38" s="10"/>
      <c r="AB38" s="10"/>
      <c r="AC38" s="10"/>
      <c r="AF38" s="10"/>
      <c r="AG38" s="10"/>
      <c r="AJ38" s="10"/>
      <c r="AK38" s="10"/>
      <c r="AN38" s="10"/>
      <c r="AO38" s="10"/>
      <c r="AR38" s="10"/>
      <c r="AS38" s="10"/>
      <c r="AV38" s="10"/>
      <c r="AW38" s="10"/>
      <c r="AZ38" s="10"/>
      <c r="BA38" s="10"/>
      <c r="BD38" s="10"/>
      <c r="BE38" s="10"/>
      <c r="BH38" s="10"/>
      <c r="BI38" s="10"/>
      <c r="BL38" s="10"/>
      <c r="BM38" s="10"/>
      <c r="BN38">
        <f>SUMIFS($D38:$BM38,$D$9:$BM$9,$H$1)</f>
        <v>0</v>
      </c>
      <c r="BO38">
        <f>SUMIFS($D38:$BM38,$D$9:$BM$9,$H$2)</f>
        <v>0</v>
      </c>
      <c r="BP38">
        <f>BN38-BO38</f>
        <v>0</v>
      </c>
    </row>
    <row r="39" spans="2:68">
      <c r="B39" s="6" t="s">
        <v>67</v>
      </c>
      <c r="C39" s="6" t="s">
        <v>68</v>
      </c>
      <c r="D39" s="10"/>
      <c r="E39" s="10"/>
      <c r="H39" s="10"/>
      <c r="I39" s="10"/>
      <c r="L39" s="10"/>
      <c r="M39" s="10"/>
      <c r="P39" s="10"/>
      <c r="Q39" s="10"/>
      <c r="T39" s="10"/>
      <c r="U39" s="10"/>
      <c r="X39" s="10"/>
      <c r="Y39" s="10"/>
      <c r="AB39" s="10"/>
      <c r="AC39" s="10"/>
      <c r="AF39" s="10"/>
      <c r="AG39" s="10"/>
      <c r="AJ39" s="10"/>
      <c r="AK39" s="10"/>
      <c r="AN39" s="10"/>
      <c r="AO39" s="10"/>
      <c r="AR39" s="10"/>
      <c r="AS39" s="10"/>
      <c r="AV39" s="10"/>
      <c r="AW39" s="10"/>
      <c r="AZ39" s="10"/>
      <c r="BA39" s="10"/>
      <c r="BD39" s="10"/>
      <c r="BE39" s="10"/>
      <c r="BH39" s="10"/>
      <c r="BI39" s="10"/>
      <c r="BL39" s="10"/>
      <c r="BM39" s="10"/>
      <c r="BN39">
        <f>SUMIFS($D39:$BM39,$D$9:$BM$9,$H$1)</f>
        <v>0</v>
      </c>
      <c r="BO39">
        <f>SUMIFS($D39:$BM39,$D$9:$BM$9,$H$2)</f>
        <v>0</v>
      </c>
      <c r="BP39">
        <f>BN39-BO39</f>
        <v>0</v>
      </c>
    </row>
    <row r="40" spans="2:68">
      <c r="B40" s="6" t="s">
        <v>69</v>
      </c>
      <c r="C40" s="6" t="s">
        <v>70</v>
      </c>
      <c r="D40" s="10"/>
      <c r="E40" s="10"/>
      <c r="H40" s="10"/>
      <c r="I40" s="10"/>
      <c r="L40" s="10"/>
      <c r="M40" s="10"/>
      <c r="P40" s="10"/>
      <c r="Q40" s="10"/>
      <c r="T40" s="10"/>
      <c r="U40" s="10"/>
      <c r="X40" s="10"/>
      <c r="Y40" s="10"/>
      <c r="AB40" s="10"/>
      <c r="AC40" s="10"/>
      <c r="AF40" s="10"/>
      <c r="AG40" s="10"/>
      <c r="AJ40" s="10"/>
      <c r="AK40" s="10"/>
      <c r="AN40" s="10"/>
      <c r="AO40" s="10"/>
      <c r="AR40" s="10"/>
      <c r="AS40" s="10"/>
      <c r="AV40" s="10"/>
      <c r="AW40" s="10"/>
      <c r="AZ40" s="10"/>
      <c r="BA40" s="10"/>
      <c r="BD40" s="10"/>
      <c r="BE40" s="10"/>
      <c r="BH40" s="10"/>
      <c r="BI40" s="10"/>
      <c r="BL40" s="10"/>
      <c r="BM40" s="10"/>
      <c r="BN40">
        <f>SUMIFS($D40:$BM40,$D$9:$BM$9,$H$1)</f>
        <v>0</v>
      </c>
      <c r="BO40">
        <f>SUMIFS($D40:$BM40,$D$9:$BM$9,$H$2)</f>
        <v>0</v>
      </c>
      <c r="BP40">
        <f>BN40-BO40</f>
        <v>0</v>
      </c>
    </row>
    <row r="41" spans="2:68">
      <c r="B41" s="6" t="s">
        <v>71</v>
      </c>
      <c r="C41" s="6" t="s">
        <v>72</v>
      </c>
      <c r="D41" s="10"/>
      <c r="E41" s="10"/>
      <c r="H41" s="10"/>
      <c r="I41" s="10"/>
      <c r="L41" s="10"/>
      <c r="M41" s="10"/>
      <c r="P41" s="10"/>
      <c r="Q41" s="10"/>
      <c r="T41" s="10"/>
      <c r="U41" s="10"/>
      <c r="X41" s="10"/>
      <c r="Y41" s="10"/>
      <c r="AB41" s="10"/>
      <c r="AC41" s="10"/>
      <c r="AF41" s="10"/>
      <c r="AG41" s="10"/>
      <c r="AJ41" s="10"/>
      <c r="AK41" s="10"/>
      <c r="AN41" s="10"/>
      <c r="AO41" s="10"/>
      <c r="AR41" s="10"/>
      <c r="AS41" s="10"/>
      <c r="AV41" s="10"/>
      <c r="AW41" s="10"/>
      <c r="AZ41" s="10"/>
      <c r="BA41" s="10"/>
      <c r="BD41" s="10"/>
      <c r="BE41" s="10"/>
      <c r="BH41" s="10"/>
      <c r="BI41" s="10"/>
      <c r="BL41" s="10"/>
      <c r="BM41" s="10"/>
      <c r="BN41">
        <f>SUMIFS($D41:$BM41,$D$9:$BM$9,$H$1)</f>
        <v>0</v>
      </c>
      <c r="BO41">
        <f>SUMIFS($D41:$BM41,$D$9:$BM$9,$H$2)</f>
        <v>0</v>
      </c>
      <c r="BP41">
        <f>BN41-BO41</f>
        <v>0</v>
      </c>
    </row>
    <row r="42" spans="2:68">
      <c r="B42" s="6" t="s">
        <v>73</v>
      </c>
      <c r="C42" s="6" t="s">
        <v>74</v>
      </c>
      <c r="D42" s="10"/>
      <c r="E42" s="10"/>
      <c r="H42" s="10"/>
      <c r="I42" s="10"/>
      <c r="L42" s="10"/>
      <c r="M42" s="10"/>
      <c r="P42" s="10"/>
      <c r="Q42" s="10"/>
      <c r="T42" s="10"/>
      <c r="U42" s="10"/>
      <c r="X42" s="10"/>
      <c r="Y42" s="10"/>
      <c r="AB42" s="10"/>
      <c r="AC42" s="10"/>
      <c r="AF42" s="10"/>
      <c r="AG42" s="10"/>
      <c r="AJ42" s="10"/>
      <c r="AK42" s="10"/>
      <c r="AN42" s="10"/>
      <c r="AO42" s="10"/>
      <c r="AR42" s="10"/>
      <c r="AS42" s="10"/>
      <c r="AV42" s="10"/>
      <c r="AW42" s="10"/>
      <c r="AZ42" s="10"/>
      <c r="BA42" s="10"/>
      <c r="BD42" s="10"/>
      <c r="BE42" s="10"/>
      <c r="BH42" s="10"/>
      <c r="BI42" s="10"/>
      <c r="BL42" s="10"/>
      <c r="BM42" s="10"/>
      <c r="BN42">
        <f>SUMIFS($D42:$BM42,$D$9:$BM$9,$H$1)</f>
        <v>0</v>
      </c>
      <c r="BO42">
        <f>SUMIFS($D42:$BM42,$D$9:$BM$9,$H$2)</f>
        <v>0</v>
      </c>
      <c r="BP42">
        <f>BN42-BO42</f>
        <v>0</v>
      </c>
    </row>
    <row r="43" spans="2:68">
      <c r="B43" s="6" t="s">
        <v>75</v>
      </c>
      <c r="C43" s="6" t="s">
        <v>76</v>
      </c>
      <c r="D43" s="10"/>
      <c r="E43" s="10"/>
      <c r="H43" s="10"/>
      <c r="I43" s="10"/>
      <c r="L43" s="10"/>
      <c r="M43" s="10"/>
      <c r="P43" s="10"/>
      <c r="Q43" s="10"/>
      <c r="T43" s="10"/>
      <c r="U43" s="10"/>
      <c r="X43" s="10"/>
      <c r="Y43" s="10"/>
      <c r="AB43" s="10"/>
      <c r="AC43" s="10"/>
      <c r="AF43" s="10"/>
      <c r="AG43" s="10"/>
      <c r="AJ43" s="10"/>
      <c r="AK43" s="10"/>
      <c r="AN43" s="10"/>
      <c r="AO43" s="10"/>
      <c r="AR43" s="10"/>
      <c r="AS43" s="10"/>
      <c r="AV43" s="10"/>
      <c r="AW43" s="10"/>
      <c r="AZ43" s="10"/>
      <c r="BA43" s="10"/>
      <c r="BD43" s="10"/>
      <c r="BE43" s="10"/>
      <c r="BH43" s="10"/>
      <c r="BI43" s="10"/>
      <c r="BL43" s="10"/>
      <c r="BM43" s="10"/>
      <c r="BN43">
        <f>SUMIFS($D43:$BM43,$D$9:$BM$9,$H$1)</f>
        <v>0</v>
      </c>
      <c r="BO43">
        <f>SUMIFS($D43:$BM43,$D$9:$BM$9,$H$2)</f>
        <v>0</v>
      </c>
      <c r="BP43">
        <f>BN43-BO43</f>
        <v>0</v>
      </c>
    </row>
    <row r="44" spans="2:68">
      <c r="B44" s="6" t="s">
        <v>77</v>
      </c>
      <c r="C44" s="6" t="s">
        <v>78</v>
      </c>
      <c r="D44" s="10"/>
      <c r="E44" s="10"/>
      <c r="H44" s="10"/>
      <c r="I44" s="10"/>
      <c r="L44" s="10"/>
      <c r="M44" s="10"/>
      <c r="P44" s="10"/>
      <c r="Q44" s="10"/>
      <c r="T44" s="10"/>
      <c r="U44" s="10"/>
      <c r="X44" s="10"/>
      <c r="Y44" s="10"/>
      <c r="AB44" s="10"/>
      <c r="AC44" s="10"/>
      <c r="AF44" s="10"/>
      <c r="AG44" s="10"/>
      <c r="AJ44" s="10"/>
      <c r="AK44" s="10"/>
      <c r="AN44" s="10"/>
      <c r="AO44" s="10"/>
      <c r="AR44" s="10"/>
      <c r="AS44" s="10"/>
      <c r="AV44" s="10"/>
      <c r="AW44" s="10"/>
      <c r="AZ44" s="10"/>
      <c r="BA44" s="10"/>
      <c r="BD44" s="10"/>
      <c r="BE44" s="10"/>
      <c r="BH44" s="10"/>
      <c r="BI44" s="10"/>
      <c r="BL44" s="10"/>
      <c r="BM44" s="10"/>
      <c r="BN44">
        <f>SUMIFS($D44:$BM44,$D$9:$BM$9,$H$1)</f>
        <v>0</v>
      </c>
      <c r="BO44">
        <f>SUMIFS($D44:$BM44,$D$9:$BM$9,$H$2)</f>
        <v>0</v>
      </c>
      <c r="BP44">
        <f>BN44-BO44</f>
        <v>0</v>
      </c>
    </row>
    <row r="45" spans="2:68">
      <c r="B45" s="6" t="s">
        <v>79</v>
      </c>
      <c r="C45" s="6" t="s">
        <v>78</v>
      </c>
      <c r="D45" s="10"/>
      <c r="E45" s="10"/>
      <c r="H45" s="10"/>
      <c r="I45" s="10"/>
      <c r="L45" s="10"/>
      <c r="M45" s="10"/>
      <c r="P45" s="10"/>
      <c r="Q45" s="10"/>
      <c r="T45" s="10"/>
      <c r="U45" s="10"/>
      <c r="X45" s="10"/>
      <c r="Y45" s="10"/>
      <c r="AB45" s="10"/>
      <c r="AC45" s="10"/>
      <c r="AF45" s="10"/>
      <c r="AG45" s="10"/>
      <c r="AJ45" s="10"/>
      <c r="AK45" s="10"/>
      <c r="AN45" s="10"/>
      <c r="AO45" s="10"/>
      <c r="AR45" s="10"/>
      <c r="AS45" s="10"/>
      <c r="AV45" s="10"/>
      <c r="AW45" s="10"/>
      <c r="AZ45" s="10"/>
      <c r="BA45" s="10"/>
      <c r="BD45" s="10"/>
      <c r="BE45" s="10"/>
      <c r="BH45" s="10"/>
      <c r="BI45" s="10"/>
      <c r="BL45" s="10"/>
      <c r="BM45" s="10"/>
      <c r="BN45">
        <f>SUMIFS($D45:$BM45,$D$9:$BM$9,$H$1)</f>
        <v>0</v>
      </c>
      <c r="BO45">
        <f>SUMIFS($D45:$BM45,$D$9:$BM$9,$H$2)</f>
        <v>0</v>
      </c>
      <c r="BP45">
        <f>BN45-BO45</f>
        <v>0</v>
      </c>
    </row>
    <row r="46" spans="2:68">
      <c r="B46" s="6" t="s">
        <v>80</v>
      </c>
      <c r="C46" s="6" t="s">
        <v>81</v>
      </c>
      <c r="D46" s="10"/>
      <c r="E46" s="10"/>
      <c r="H46" s="10"/>
      <c r="I46" s="10"/>
      <c r="L46" s="10"/>
      <c r="M46" s="10"/>
      <c r="P46" s="10"/>
      <c r="Q46" s="10"/>
      <c r="T46" s="10"/>
      <c r="U46" s="10"/>
      <c r="X46" s="10"/>
      <c r="Y46" s="10"/>
      <c r="AB46" s="10"/>
      <c r="AC46" s="10"/>
      <c r="AF46" s="10"/>
      <c r="AG46" s="10"/>
      <c r="AJ46" s="10"/>
      <c r="AK46" s="10"/>
      <c r="AN46" s="10"/>
      <c r="AO46" s="10"/>
      <c r="AR46" s="10"/>
      <c r="AS46" s="10"/>
      <c r="AV46" s="10"/>
      <c r="AW46" s="10"/>
      <c r="AZ46" s="10"/>
      <c r="BA46" s="10"/>
      <c r="BD46" s="10"/>
      <c r="BE46" s="10"/>
      <c r="BH46" s="10"/>
      <c r="BI46" s="10"/>
      <c r="BL46" s="10"/>
      <c r="BM46" s="10"/>
      <c r="BN46">
        <f>SUMIFS($D46:$BM46,$D$9:$BM$9,$H$1)</f>
        <v>0</v>
      </c>
      <c r="BO46">
        <f>SUMIFS($D46:$BM46,$D$9:$BM$9,$H$2)</f>
        <v>0</v>
      </c>
      <c r="BP46">
        <f>BN46-BO46</f>
        <v>0</v>
      </c>
    </row>
    <row r="47" spans="2:68">
      <c r="B47" s="6" t="s">
        <v>82</v>
      </c>
      <c r="C47" s="6" t="s">
        <v>81</v>
      </c>
      <c r="D47" s="10"/>
      <c r="E47" s="10"/>
      <c r="H47" s="10"/>
      <c r="I47" s="10"/>
      <c r="L47" s="10"/>
      <c r="M47" s="10"/>
      <c r="P47" s="10"/>
      <c r="Q47" s="10"/>
      <c r="T47" s="10"/>
      <c r="U47" s="10"/>
      <c r="X47" s="10"/>
      <c r="Y47" s="10"/>
      <c r="AB47" s="10"/>
      <c r="AC47" s="10"/>
      <c r="AF47" s="10"/>
      <c r="AG47" s="10"/>
      <c r="AJ47" s="10"/>
      <c r="AK47" s="10"/>
      <c r="AN47" s="10"/>
      <c r="AO47" s="10"/>
      <c r="AR47" s="10"/>
      <c r="AS47" s="10"/>
      <c r="AV47" s="10"/>
      <c r="AW47" s="10"/>
      <c r="AZ47" s="10"/>
      <c r="BA47" s="10"/>
      <c r="BD47" s="10"/>
      <c r="BE47" s="10"/>
      <c r="BH47" s="10"/>
      <c r="BI47" s="10"/>
      <c r="BL47" s="10"/>
      <c r="BM47" s="10"/>
      <c r="BN47">
        <f>SUMIFS($D47:$BM47,$D$9:$BM$9,$H$1)</f>
        <v>0</v>
      </c>
      <c r="BO47">
        <f>SUMIFS($D47:$BM47,$D$9:$BM$9,$H$2)</f>
        <v>0</v>
      </c>
      <c r="BP47">
        <f>BN47-BO47</f>
        <v>0</v>
      </c>
    </row>
    <row r="48" spans="2:68">
      <c r="B48" s="6" t="s">
        <v>83</v>
      </c>
      <c r="C48" s="6" t="s">
        <v>84</v>
      </c>
      <c r="D48" s="15"/>
      <c r="E48" s="15"/>
      <c r="F48" s="9"/>
      <c r="G48" s="9"/>
      <c r="H48" s="15"/>
      <c r="I48" s="15"/>
      <c r="J48" s="9"/>
      <c r="K48" s="9"/>
      <c r="L48" s="15"/>
      <c r="M48" s="15"/>
      <c r="N48" s="9"/>
      <c r="O48" s="9"/>
      <c r="P48" s="15"/>
      <c r="Q48" s="15"/>
      <c r="R48" s="9"/>
      <c r="S48" s="9"/>
      <c r="T48" s="15"/>
      <c r="U48" s="15"/>
      <c r="V48" s="9"/>
      <c r="W48" s="9"/>
      <c r="X48" s="15"/>
      <c r="Y48" s="15"/>
      <c r="Z48" s="9"/>
      <c r="AA48" s="9"/>
      <c r="AB48" s="15"/>
      <c r="AC48" s="15"/>
      <c r="AD48" s="9"/>
      <c r="AE48" s="9"/>
      <c r="AF48" s="15"/>
      <c r="AG48" s="15"/>
      <c r="AH48" s="9"/>
      <c r="AI48" s="9"/>
      <c r="AJ48" s="15"/>
      <c r="AK48" s="15"/>
      <c r="AL48" s="9"/>
      <c r="AM48" s="9"/>
      <c r="AN48" s="15"/>
      <c r="AO48" s="15"/>
      <c r="AP48" s="9"/>
      <c r="AQ48" s="9"/>
      <c r="AR48" s="15"/>
      <c r="AS48" s="15"/>
      <c r="AT48" s="9"/>
      <c r="AU48" s="9"/>
      <c r="AV48" s="15"/>
      <c r="AW48" s="15"/>
      <c r="AX48" s="9"/>
      <c r="AY48" s="9"/>
      <c r="AZ48" s="15"/>
      <c r="BA48" s="15"/>
      <c r="BB48" s="9"/>
      <c r="BC48" s="9"/>
      <c r="BD48" s="15"/>
      <c r="BE48" s="15"/>
      <c r="BF48" s="9"/>
      <c r="BG48" s="9"/>
      <c r="BH48" s="15"/>
      <c r="BI48" s="15"/>
      <c r="BJ48" s="9"/>
      <c r="BK48" s="9"/>
      <c r="BL48" s="15"/>
      <c r="BM48" s="15"/>
      <c r="BN48">
        <f>SUMIFS($D48:$BM48,$D$9:$BM$9,$H$1)</f>
        <v>0</v>
      </c>
      <c r="BO48">
        <f>SUMIFS($D48:$BM48,$D$9:$BM$9,$H$2)</f>
        <v>0</v>
      </c>
      <c r="BP48">
        <f>BN48-BO48</f>
        <v>0</v>
      </c>
    </row>
    <row r="49" spans="2:68">
      <c r="B49" s="6" t="s">
        <v>85</v>
      </c>
      <c r="C49" s="6" t="s">
        <v>86</v>
      </c>
      <c r="D49" s="10"/>
      <c r="E49" s="10"/>
      <c r="H49" s="10"/>
      <c r="I49" s="10"/>
      <c r="L49" s="10"/>
      <c r="M49" s="10"/>
      <c r="P49" s="10"/>
      <c r="Q49" s="10"/>
      <c r="T49" s="10"/>
      <c r="U49" s="10"/>
      <c r="X49" s="10"/>
      <c r="Y49" s="10"/>
      <c r="AB49" s="10"/>
      <c r="AC49" s="10"/>
      <c r="AF49" s="10"/>
      <c r="AG49" s="10"/>
      <c r="AJ49" s="10"/>
      <c r="AK49" s="10"/>
      <c r="AN49" s="10"/>
      <c r="AO49" s="10"/>
      <c r="AR49" s="10"/>
      <c r="AS49" s="10"/>
      <c r="AV49" s="10"/>
      <c r="AW49" s="10"/>
      <c r="AZ49" s="10"/>
      <c r="BA49" s="10"/>
      <c r="BD49" s="10"/>
      <c r="BE49" s="10"/>
      <c r="BH49" s="10"/>
      <c r="BI49" s="10"/>
      <c r="BL49" s="10"/>
      <c r="BM49" s="10"/>
      <c r="BN49">
        <f>SUMIFS($D49:$BM49,$D$9:$BM$9,$H$1)</f>
        <v>0</v>
      </c>
      <c r="BO49">
        <f>SUMIFS($D49:$BM49,$D$9:$BM$9,$H$2)</f>
        <v>0</v>
      </c>
      <c r="BP49">
        <f>BN49-BO49</f>
        <v>0</v>
      </c>
    </row>
    <row r="50" spans="2:68">
      <c r="B50" s="6" t="s">
        <v>87</v>
      </c>
      <c r="C50" s="6" t="s">
        <v>88</v>
      </c>
      <c r="BN50">
        <f>SUMIFS($D50:$BM50,$D$9:$BM$9,$H$1)</f>
        <v>0</v>
      </c>
      <c r="BO50">
        <f>SUMIFS($D50:$BM50,$D$9:$BM$9,$H$2)</f>
        <v>0</v>
      </c>
      <c r="BP50">
        <f>BN50-BO50</f>
        <v>0</v>
      </c>
    </row>
    <row r="51" spans="2:68">
      <c r="B51" s="6" t="s">
        <v>89</v>
      </c>
      <c r="C51" s="6" t="s">
        <v>88</v>
      </c>
      <c r="BN51">
        <f>SUMIFS($D51:$BM51,$D$9:$BM$9,$H$1)</f>
        <v>0</v>
      </c>
      <c r="BO51">
        <f>SUMIFS($D51:$BM51,$D$9:$BM$9,$H$2)</f>
        <v>0</v>
      </c>
      <c r="BP51">
        <f>BN51-BO51</f>
        <v>0</v>
      </c>
    </row>
    <row r="52" spans="2:68">
      <c r="B52" s="6" t="s">
        <v>90</v>
      </c>
      <c r="C52" s="6" t="s">
        <v>91</v>
      </c>
      <c r="BN52">
        <f>SUMIFS($D52:$BM52,$D$9:$BM$9,$H$1)</f>
        <v>0</v>
      </c>
      <c r="BO52">
        <f>SUMIFS($D52:$BM52,$D$9:$BM$9,$H$2)</f>
        <v>0</v>
      </c>
      <c r="BP52">
        <f>BN52-BO52</f>
        <v>0</v>
      </c>
    </row>
    <row r="53" spans="2:68">
      <c r="B53" s="6" t="s">
        <v>92</v>
      </c>
      <c r="C53" s="6" t="s">
        <v>91</v>
      </c>
      <c r="BN53">
        <f>SUMIFS($D53:$BM53,$D$9:$BM$9,$H$1)</f>
        <v>0</v>
      </c>
      <c r="BO53">
        <f>SUMIFS($D53:$BM53,$D$9:$BM$9,$H$2)</f>
        <v>0</v>
      </c>
      <c r="BP53">
        <f>BN53-BO53</f>
        <v>0</v>
      </c>
    </row>
    <row r="54" spans="2:68">
      <c r="B54" s="6" t="s">
        <v>93</v>
      </c>
      <c r="C54" s="6" t="s">
        <v>94</v>
      </c>
      <c r="BN54">
        <f>SUMIFS($D54:$BM54,$D$9:$BM$9,$H$1)</f>
        <v>0</v>
      </c>
      <c r="BO54">
        <f>SUMIFS($D54:$BM54,$D$9:$BM$9,$H$2)</f>
        <v>0</v>
      </c>
      <c r="BP54">
        <f>BN54-BO54</f>
        <v>0</v>
      </c>
    </row>
    <row r="55" spans="2:68">
      <c r="B55" s="6" t="s">
        <v>95</v>
      </c>
      <c r="C55" s="6" t="s">
        <v>94</v>
      </c>
      <c r="BN55">
        <f>SUMIFS($D55:$BM55,$D$9:$BM$9,$H$1)</f>
        <v>0</v>
      </c>
      <c r="BO55">
        <f>SUMIFS($D55:$BM55,$D$9:$BM$9,$H$2)</f>
        <v>0</v>
      </c>
      <c r="BP55">
        <f>BN55-BO55</f>
        <v>0</v>
      </c>
    </row>
    <row r="56" spans="2:68">
      <c r="B56" s="6" t="s">
        <v>96</v>
      </c>
      <c r="C56" s="6" t="s">
        <v>97</v>
      </c>
      <c r="BN56">
        <f>SUMIFS($D56:$BM56,$D$9:$BM$9,$H$1)</f>
        <v>0</v>
      </c>
      <c r="BO56">
        <f>SUMIFS($D56:$BM56,$D$9:$BM$9,$H$2)</f>
        <v>0</v>
      </c>
      <c r="BP56">
        <f>BN56-BO56</f>
        <v>0</v>
      </c>
    </row>
    <row r="57" spans="2:68">
      <c r="B57" s="6" t="s">
        <v>98</v>
      </c>
      <c r="C57" s="6" t="s">
        <v>99</v>
      </c>
      <c r="BN57">
        <f>SUMIFS($D57:$BM57,$D$9:$BM$9,$H$1)</f>
        <v>0</v>
      </c>
      <c r="BO57">
        <f>SUMIFS($D57:$BM57,$D$9:$BM$9,$H$2)</f>
        <v>0</v>
      </c>
      <c r="BP57">
        <f>BN57-BO57</f>
        <v>0</v>
      </c>
    </row>
  </sheetData>
  <sortState xmlns:xlrd2="http://schemas.microsoft.com/office/spreadsheetml/2017/richdata2" ref="B10:BP57">
    <sortCondition descending="1" ref="BP10:BP57"/>
  </sortState>
  <mergeCells count="93">
    <mergeCell ref="AP7:AQ7"/>
    <mergeCell ref="AR7:AS7"/>
    <mergeCell ref="AT7:AU7"/>
    <mergeCell ref="AV7:AW7"/>
    <mergeCell ref="BL7:BM7"/>
    <mergeCell ref="AZ7:BA7"/>
    <mergeCell ref="BB7:BC7"/>
    <mergeCell ref="BD7:BE7"/>
    <mergeCell ref="BF7:BG7"/>
    <mergeCell ref="BH7:BI7"/>
    <mergeCell ref="BJ7:BK7"/>
    <mergeCell ref="P7:Q7"/>
    <mergeCell ref="R7:S7"/>
    <mergeCell ref="T7:U7"/>
    <mergeCell ref="V7:W7"/>
    <mergeCell ref="X7:Y7"/>
    <mergeCell ref="Z7:AA7"/>
    <mergeCell ref="BF6:BG6"/>
    <mergeCell ref="BH6:BI6"/>
    <mergeCell ref="BJ6:BK6"/>
    <mergeCell ref="BL6:BM6"/>
    <mergeCell ref="BB6:BC6"/>
    <mergeCell ref="BD6:BE6"/>
    <mergeCell ref="AF6:AG6"/>
    <mergeCell ref="AX7:AY7"/>
    <mergeCell ref="AB7:AC7"/>
    <mergeCell ref="AD7:AE7"/>
    <mergeCell ref="AF7:AG7"/>
    <mergeCell ref="AH7:AI7"/>
    <mergeCell ref="AJ7:AK7"/>
    <mergeCell ref="AL7:AM7"/>
    <mergeCell ref="AN7:AO7"/>
    <mergeCell ref="D7:E7"/>
    <mergeCell ref="F7:G7"/>
    <mergeCell ref="H7:I7"/>
    <mergeCell ref="J7:K7"/>
    <mergeCell ref="L7:M7"/>
    <mergeCell ref="N7:O7"/>
    <mergeCell ref="AT6:AU6"/>
    <mergeCell ref="AV6:AW6"/>
    <mergeCell ref="AX6:AY6"/>
    <mergeCell ref="AZ6:BA6"/>
    <mergeCell ref="AH6:AI6"/>
    <mergeCell ref="AJ6:AK6"/>
    <mergeCell ref="AL6:AM6"/>
    <mergeCell ref="AN6:AO6"/>
    <mergeCell ref="AP6:AQ6"/>
    <mergeCell ref="AR6:AS6"/>
    <mergeCell ref="V6:W6"/>
    <mergeCell ref="X6:Y6"/>
    <mergeCell ref="Z6:AA6"/>
    <mergeCell ref="AB6:AC6"/>
    <mergeCell ref="AD6:AE6"/>
    <mergeCell ref="BL5:BM5"/>
    <mergeCell ref="D6:E6"/>
    <mergeCell ref="F6:G6"/>
    <mergeCell ref="H6:I6"/>
    <mergeCell ref="J6:K6"/>
    <mergeCell ref="L6:M6"/>
    <mergeCell ref="N6:O6"/>
    <mergeCell ref="P6:Q6"/>
    <mergeCell ref="R6:S6"/>
    <mergeCell ref="T6:U6"/>
    <mergeCell ref="AZ5:BA5"/>
    <mergeCell ref="BB5:BC5"/>
    <mergeCell ref="BD5:BE5"/>
    <mergeCell ref="BF5:BG5"/>
    <mergeCell ref="BH5:BI5"/>
    <mergeCell ref="BJ5:BK5"/>
    <mergeCell ref="AX5:AY5"/>
    <mergeCell ref="AB5:AC5"/>
    <mergeCell ref="AD5:AE5"/>
    <mergeCell ref="AF5:AG5"/>
    <mergeCell ref="AH5:AI5"/>
    <mergeCell ref="AJ5:AK5"/>
    <mergeCell ref="AL5:AM5"/>
    <mergeCell ref="AN5:AO5"/>
    <mergeCell ref="AP5:AQ5"/>
    <mergeCell ref="AR5:AS5"/>
    <mergeCell ref="AT5:AU5"/>
    <mergeCell ref="AV5:AW5"/>
    <mergeCell ref="Z5:AA5"/>
    <mergeCell ref="D5:E5"/>
    <mergeCell ref="F5:G5"/>
    <mergeCell ref="H5:I5"/>
    <mergeCell ref="J5:K5"/>
    <mergeCell ref="L5:M5"/>
    <mergeCell ref="N5:O5"/>
    <mergeCell ref="P5:Q5"/>
    <mergeCell ref="R5:S5"/>
    <mergeCell ref="T5:U5"/>
    <mergeCell ref="V5:W5"/>
    <mergeCell ref="X5:Y5"/>
  </mergeCells>
  <conditionalFormatting sqref="A9:XFD9">
    <cfRule type="cellIs" dxfId="5" priority="3" operator="equal">
      <formula>"J"</formula>
    </cfRule>
    <cfRule type="cellIs" dxfId="4" priority="4" operator="equal">
      <formula>"A"</formula>
    </cfRule>
  </conditionalFormatting>
  <conditionalFormatting sqref="B10:BP60">
    <cfRule type="expression" dxfId="3" priority="2">
      <formula>MOD(ROW(),2)</formula>
    </cfRule>
  </conditionalFormatting>
  <conditionalFormatting sqref="BP10:BP57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{168A2D5C-CF71-421F-9FFE-B93C9A4E1E16}</x14:id>
        </ext>
      </extLst>
    </cfRule>
  </conditionalFormatting>
  <dataValidations count="1">
    <dataValidation type="whole" allowBlank="1" showInputMessage="1" showErrorMessage="1" error="Attention: Entier compris entre 0 et 12 !" sqref="D10:BM49" xr:uid="{F7B80133-A631-40C6-A2B9-05123A383CC2}">
      <formula1>0</formula1>
      <formula2>12</formula2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130" orientation="portrait" r:id="rId1"/>
  <headerFooter>
    <oddFooter>&amp;L&amp;D - &amp;T&amp;RMois de &amp;A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8A2D5C-CF71-421F-9FFE-B93C9A4E1E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BP10:BP57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8C780-23E2-4B6E-B8BA-84582FDD639A}">
  <sheetPr codeName="Feuil14"/>
  <dimension ref="B1:BQ57"/>
  <sheetViews>
    <sheetView showGridLines="0" showRowColHeaders="0" zoomScaleNormal="100" workbookViewId="0">
      <pane xSplit="3" ySplit="9" topLeftCell="AI10" activePane="bottomRight" state="frozen"/>
      <selection pane="bottomRight" activeCell="AT17" sqref="AT17"/>
      <selection pane="bottomLeft" activeCell="CC17" sqref="CC17"/>
      <selection pane="topRight" activeCell="CC17" sqref="CC17"/>
    </sheetView>
  </sheetViews>
  <sheetFormatPr defaultColWidth="11.42578125" defaultRowHeight="15"/>
  <cols>
    <col min="1" max="1" width="2.42578125" customWidth="1"/>
    <col min="2" max="2" width="32.140625" style="6" customWidth="1"/>
    <col min="3" max="3" width="22.42578125" style="6" customWidth="1"/>
    <col min="4" max="65" width="3.7109375" customWidth="1"/>
    <col min="66" max="66" width="4.42578125" bestFit="1" customWidth="1"/>
    <col min="67" max="67" width="4.28515625" customWidth="1"/>
    <col min="68" max="68" width="7.42578125" bestFit="1" customWidth="1"/>
    <col min="69" max="69" width="7.7109375" customWidth="1"/>
    <col min="70" max="105" width="3.7109375" customWidth="1"/>
  </cols>
  <sheetData>
    <row r="1" spans="2:69">
      <c r="H1" s="4" t="s">
        <v>0</v>
      </c>
      <c r="I1" t="s">
        <v>1</v>
      </c>
      <c r="N1" t="s">
        <v>2</v>
      </c>
      <c r="O1" t="s">
        <v>3</v>
      </c>
    </row>
    <row r="2" spans="2:69">
      <c r="H2" s="5" t="s">
        <v>4</v>
      </c>
      <c r="I2" t="s">
        <v>5</v>
      </c>
      <c r="N2" t="s">
        <v>6</v>
      </c>
      <c r="O2" t="s">
        <v>7</v>
      </c>
    </row>
    <row r="3" spans="2:69">
      <c r="N3" t="s">
        <v>8</v>
      </c>
      <c r="O3" t="s">
        <v>9</v>
      </c>
    </row>
    <row r="4" spans="2:69">
      <c r="B4" s="12"/>
      <c r="C4" s="12"/>
    </row>
    <row r="5" spans="2:69" s="2" customFormat="1">
      <c r="B5" s="13"/>
      <c r="C5" s="13"/>
      <c r="D5" s="45">
        <v>1</v>
      </c>
      <c r="E5" s="45"/>
      <c r="F5" s="45">
        <v>2</v>
      </c>
      <c r="G5" s="45"/>
      <c r="H5" s="45">
        <v>3</v>
      </c>
      <c r="I5" s="45"/>
      <c r="J5" s="45">
        <v>4</v>
      </c>
      <c r="K5" s="45"/>
      <c r="L5" s="45">
        <v>5</v>
      </c>
      <c r="M5" s="45"/>
      <c r="N5" s="45">
        <v>6</v>
      </c>
      <c r="O5" s="45"/>
      <c r="P5" s="45">
        <v>7</v>
      </c>
      <c r="Q5" s="45"/>
      <c r="R5" s="45">
        <v>8</v>
      </c>
      <c r="S5" s="45"/>
      <c r="T5" s="45">
        <v>9</v>
      </c>
      <c r="U5" s="45"/>
      <c r="V5" s="45">
        <v>10</v>
      </c>
      <c r="W5" s="45"/>
      <c r="X5" s="45">
        <v>11</v>
      </c>
      <c r="Y5" s="45"/>
      <c r="Z5" s="45">
        <v>12</v>
      </c>
      <c r="AA5" s="45"/>
      <c r="AB5" s="45">
        <v>13</v>
      </c>
      <c r="AC5" s="45"/>
      <c r="AD5" s="45">
        <v>14</v>
      </c>
      <c r="AE5" s="45"/>
      <c r="AF5" s="45">
        <v>15</v>
      </c>
      <c r="AG5" s="45"/>
      <c r="AH5" s="45">
        <v>16</v>
      </c>
      <c r="AI5" s="45"/>
      <c r="AJ5" s="45">
        <v>17</v>
      </c>
      <c r="AK5" s="45"/>
      <c r="AL5" s="45">
        <v>18</v>
      </c>
      <c r="AM5" s="45"/>
      <c r="AN5" s="45">
        <v>19</v>
      </c>
      <c r="AO5" s="45"/>
      <c r="AP5" s="45">
        <v>20</v>
      </c>
      <c r="AQ5" s="45"/>
      <c r="AR5" s="45">
        <v>21</v>
      </c>
      <c r="AS5" s="45"/>
      <c r="AT5" s="45">
        <v>22</v>
      </c>
      <c r="AU5" s="45"/>
      <c r="AV5" s="45">
        <v>23</v>
      </c>
      <c r="AW5" s="45"/>
      <c r="AX5" s="45">
        <v>24</v>
      </c>
      <c r="AY5" s="45"/>
      <c r="AZ5" s="45">
        <v>25</v>
      </c>
      <c r="BA5" s="45"/>
      <c r="BB5" s="45">
        <v>26</v>
      </c>
      <c r="BC5" s="45"/>
      <c r="BD5" s="45">
        <v>27</v>
      </c>
      <c r="BE5" s="45"/>
      <c r="BF5" s="45">
        <v>28</v>
      </c>
      <c r="BG5" s="45"/>
      <c r="BH5" s="45">
        <v>29</v>
      </c>
      <c r="BI5" s="45"/>
      <c r="BJ5" s="45">
        <v>30</v>
      </c>
      <c r="BK5" s="45"/>
      <c r="BL5" s="45">
        <v>31</v>
      </c>
      <c r="BM5" s="45"/>
      <c r="BQ5" s="6" t="s">
        <v>10</v>
      </c>
    </row>
    <row r="6" spans="2:69">
      <c r="D6" s="49" t="str">
        <f t="shared" ref="D6:BL6" si="0">TEXT(WEEKDAY(DATE($BQ$6,12,D$5),1),"jjj")</f>
        <v>mar.</v>
      </c>
      <c r="E6" s="49"/>
      <c r="F6" s="49" t="str">
        <f t="shared" si="0"/>
        <v>mer.</v>
      </c>
      <c r="G6" s="49"/>
      <c r="H6" s="49" t="str">
        <f t="shared" si="0"/>
        <v>jeu.</v>
      </c>
      <c r="I6" s="49"/>
      <c r="J6" s="49" t="str">
        <f t="shared" si="0"/>
        <v>ven.</v>
      </c>
      <c r="K6" s="49"/>
      <c r="L6" s="49" t="str">
        <f t="shared" si="0"/>
        <v>sam.</v>
      </c>
      <c r="M6" s="49"/>
      <c r="N6" s="49" t="str">
        <f t="shared" si="0"/>
        <v>dim.</v>
      </c>
      <c r="O6" s="49"/>
      <c r="P6" s="49" t="str">
        <f t="shared" si="0"/>
        <v>lun.</v>
      </c>
      <c r="Q6" s="49"/>
      <c r="R6" s="49" t="str">
        <f t="shared" si="0"/>
        <v>mar.</v>
      </c>
      <c r="S6" s="49"/>
      <c r="T6" s="49" t="str">
        <f t="shared" si="0"/>
        <v>mer.</v>
      </c>
      <c r="U6" s="49"/>
      <c r="V6" s="49" t="str">
        <f t="shared" si="0"/>
        <v>jeu.</v>
      </c>
      <c r="W6" s="49"/>
      <c r="X6" s="49" t="str">
        <f t="shared" si="0"/>
        <v>ven.</v>
      </c>
      <c r="Y6" s="49"/>
      <c r="Z6" s="49" t="str">
        <f t="shared" si="0"/>
        <v>sam.</v>
      </c>
      <c r="AA6" s="49"/>
      <c r="AB6" s="49" t="str">
        <f t="shared" si="0"/>
        <v>dim.</v>
      </c>
      <c r="AC6" s="49"/>
      <c r="AD6" s="49" t="str">
        <f t="shared" si="0"/>
        <v>lun.</v>
      </c>
      <c r="AE6" s="49"/>
      <c r="AF6" s="49" t="str">
        <f t="shared" si="0"/>
        <v>mar.</v>
      </c>
      <c r="AG6" s="49"/>
      <c r="AH6" s="49" t="str">
        <f t="shared" si="0"/>
        <v>mer.</v>
      </c>
      <c r="AI6" s="49"/>
      <c r="AJ6" s="49" t="str">
        <f t="shared" si="0"/>
        <v>jeu.</v>
      </c>
      <c r="AK6" s="49"/>
      <c r="AL6" s="49" t="str">
        <f t="shared" si="0"/>
        <v>ven.</v>
      </c>
      <c r="AM6" s="49"/>
      <c r="AN6" s="49" t="str">
        <f t="shared" si="0"/>
        <v>sam.</v>
      </c>
      <c r="AO6" s="49"/>
      <c r="AP6" s="49" t="str">
        <f t="shared" si="0"/>
        <v>dim.</v>
      </c>
      <c r="AQ6" s="49"/>
      <c r="AR6" s="49" t="str">
        <f t="shared" si="0"/>
        <v>lun.</v>
      </c>
      <c r="AS6" s="49"/>
      <c r="AT6" s="49" t="str">
        <f t="shared" si="0"/>
        <v>mar.</v>
      </c>
      <c r="AU6" s="49"/>
      <c r="AV6" s="49" t="str">
        <f t="shared" si="0"/>
        <v>mer.</v>
      </c>
      <c r="AW6" s="49"/>
      <c r="AX6" s="49" t="str">
        <f t="shared" si="0"/>
        <v>jeu.</v>
      </c>
      <c r="AY6" s="49"/>
      <c r="AZ6" s="49" t="str">
        <f t="shared" si="0"/>
        <v>ven.</v>
      </c>
      <c r="BA6" s="49"/>
      <c r="BB6" s="49" t="str">
        <f t="shared" si="0"/>
        <v>sam.</v>
      </c>
      <c r="BC6" s="49"/>
      <c r="BD6" s="49" t="str">
        <f t="shared" si="0"/>
        <v>dim.</v>
      </c>
      <c r="BE6" s="49"/>
      <c r="BF6" s="49" t="str">
        <f t="shared" si="0"/>
        <v>lun.</v>
      </c>
      <c r="BG6" s="49"/>
      <c r="BH6" s="49" t="str">
        <f t="shared" si="0"/>
        <v>mar.</v>
      </c>
      <c r="BI6" s="49"/>
      <c r="BJ6" s="49" t="str">
        <f t="shared" si="0"/>
        <v>mer.</v>
      </c>
      <c r="BK6" s="49"/>
      <c r="BL6" s="49" t="str">
        <f t="shared" si="0"/>
        <v>jeu.</v>
      </c>
      <c r="BM6" s="49"/>
      <c r="BN6" s="14" t="str">
        <f>Janvier!BN6</f>
        <v>LIAGE 3</v>
      </c>
      <c r="BO6" s="14"/>
      <c r="BP6" s="14"/>
      <c r="BQ6" s="7">
        <f>Janvier!BQ6</f>
        <v>2020</v>
      </c>
    </row>
    <row r="7" spans="2:69">
      <c r="B7" s="30" t="s">
        <v>120</v>
      </c>
      <c r="C7" s="1"/>
      <c r="D7" s="47">
        <v>1</v>
      </c>
      <c r="E7" s="48"/>
      <c r="F7" s="47">
        <v>2</v>
      </c>
      <c r="G7" s="48"/>
      <c r="H7" s="47">
        <v>3</v>
      </c>
      <c r="I7" s="48"/>
      <c r="J7" s="47">
        <v>4</v>
      </c>
      <c r="K7" s="48"/>
      <c r="L7" s="47">
        <v>5</v>
      </c>
      <c r="M7" s="48"/>
      <c r="N7" s="47">
        <v>6</v>
      </c>
      <c r="O7" s="48"/>
      <c r="P7" s="47">
        <v>7</v>
      </c>
      <c r="Q7" s="48"/>
      <c r="R7" s="47">
        <v>8</v>
      </c>
      <c r="S7" s="48"/>
      <c r="T7" s="47">
        <v>9</v>
      </c>
      <c r="U7" s="48"/>
      <c r="V7" s="47">
        <v>10</v>
      </c>
      <c r="W7" s="48"/>
      <c r="X7" s="47">
        <v>11</v>
      </c>
      <c r="Y7" s="48"/>
      <c r="Z7" s="47">
        <v>12</v>
      </c>
      <c r="AA7" s="48"/>
      <c r="AB7" s="47">
        <v>13</v>
      </c>
      <c r="AC7" s="48"/>
      <c r="AD7" s="47">
        <v>14</v>
      </c>
      <c r="AE7" s="48"/>
      <c r="AF7" s="47">
        <v>15</v>
      </c>
      <c r="AG7" s="48"/>
      <c r="AH7" s="47">
        <v>16</v>
      </c>
      <c r="AI7" s="48"/>
      <c r="AJ7" s="47">
        <v>17</v>
      </c>
      <c r="AK7" s="48"/>
      <c r="AL7" s="47">
        <v>18</v>
      </c>
      <c r="AM7" s="48"/>
      <c r="AN7" s="47">
        <v>19</v>
      </c>
      <c r="AO7" s="48"/>
      <c r="AP7" s="47">
        <v>20</v>
      </c>
      <c r="AQ7" s="48"/>
      <c r="AR7" s="47">
        <v>21</v>
      </c>
      <c r="AS7" s="48"/>
      <c r="AT7" s="47">
        <v>22</v>
      </c>
      <c r="AU7" s="48"/>
      <c r="AV7" s="47">
        <v>23</v>
      </c>
      <c r="AW7" s="48"/>
      <c r="AX7" s="47">
        <v>24</v>
      </c>
      <c r="AY7" s="48"/>
      <c r="AZ7" s="47">
        <v>25</v>
      </c>
      <c r="BA7" s="48"/>
      <c r="BB7" s="47">
        <v>26</v>
      </c>
      <c r="BC7" s="48"/>
      <c r="BD7" s="47">
        <v>27</v>
      </c>
      <c r="BE7" s="48"/>
      <c r="BF7" s="47">
        <v>28</v>
      </c>
      <c r="BG7" s="48"/>
      <c r="BH7" s="47">
        <v>29</v>
      </c>
      <c r="BI7" s="48"/>
      <c r="BJ7" s="47">
        <v>30</v>
      </c>
      <c r="BK7" s="48"/>
      <c r="BL7" s="47">
        <v>31</v>
      </c>
      <c r="BM7" s="48"/>
    </row>
    <row r="8" spans="2:69" s="11" customFormat="1">
      <c r="B8" s="8"/>
      <c r="C8" s="8" t="s">
        <v>121</v>
      </c>
      <c r="D8" s="16"/>
      <c r="E8" s="17"/>
      <c r="F8" s="18"/>
      <c r="G8" s="17"/>
      <c r="H8" s="19"/>
      <c r="I8" s="20"/>
      <c r="J8" s="19"/>
      <c r="K8" s="20"/>
      <c r="L8" s="19"/>
      <c r="M8" s="20"/>
      <c r="N8" s="19"/>
      <c r="O8" s="20"/>
      <c r="P8" s="19"/>
      <c r="Q8" s="20"/>
      <c r="R8" s="19"/>
      <c r="S8" s="20"/>
      <c r="T8" s="19"/>
      <c r="U8" s="20"/>
      <c r="V8" s="19"/>
      <c r="W8" s="20"/>
      <c r="X8" s="19"/>
      <c r="Y8" s="20"/>
      <c r="Z8" s="19"/>
      <c r="AA8" s="20"/>
      <c r="AB8" s="19"/>
      <c r="AC8" s="20"/>
      <c r="AD8" s="19"/>
      <c r="AE8" s="20"/>
      <c r="AF8" s="19"/>
      <c r="AG8" s="20"/>
      <c r="AH8" s="19"/>
      <c r="AI8" s="20"/>
      <c r="AJ8" s="19"/>
      <c r="AK8" s="20"/>
      <c r="AL8" s="19"/>
      <c r="AM8" s="20"/>
      <c r="AN8" s="19"/>
      <c r="AO8" s="20"/>
      <c r="AP8" s="19"/>
      <c r="AQ8" s="20"/>
      <c r="AR8" s="19"/>
      <c r="AS8" s="20"/>
      <c r="AT8" s="19"/>
      <c r="AU8" s="20"/>
      <c r="AV8" s="19"/>
      <c r="AW8" s="20"/>
      <c r="AX8" s="19"/>
      <c r="AY8" s="20"/>
      <c r="AZ8" s="19"/>
      <c r="BA8" s="20"/>
      <c r="BB8" s="19"/>
      <c r="BC8" s="20"/>
      <c r="BD8" s="19"/>
      <c r="BE8" s="20"/>
      <c r="BF8" s="19"/>
      <c r="BG8" s="20"/>
      <c r="BH8" s="19"/>
      <c r="BI8" s="20"/>
      <c r="BJ8" s="19"/>
      <c r="BK8" s="20"/>
      <c r="BL8" s="19"/>
      <c r="BM8" s="21"/>
      <c r="BN8">
        <f>SUM(BN10:BN49)</f>
        <v>71</v>
      </c>
      <c r="BO8">
        <f>SUM(BO10:BO49)</f>
        <v>27</v>
      </c>
      <c r="BP8">
        <f>SUM(BP10:BP49)</f>
        <v>44</v>
      </c>
    </row>
    <row r="9" spans="2:69" s="3" customFormat="1" ht="12" customHeight="1">
      <c r="B9" s="23" t="s">
        <v>14</v>
      </c>
      <c r="C9" s="23" t="s">
        <v>15</v>
      </c>
      <c r="D9" s="24" t="str">
        <f>$H$1</f>
        <v>A</v>
      </c>
      <c r="E9" s="25" t="str">
        <f>$H$2</f>
        <v>J</v>
      </c>
      <c r="F9" s="26" t="str">
        <f>$H$1</f>
        <v>A</v>
      </c>
      <c r="G9" s="27" t="str">
        <f>$H$2</f>
        <v>J</v>
      </c>
      <c r="H9" s="28" t="str">
        <f>$H$1</f>
        <v>A</v>
      </c>
      <c r="I9" s="25" t="str">
        <f>$H$2</f>
        <v>J</v>
      </c>
      <c r="J9" s="26" t="str">
        <f>$H$1</f>
        <v>A</v>
      </c>
      <c r="K9" s="27" t="str">
        <f>$H$2</f>
        <v>J</v>
      </c>
      <c r="L9" s="28" t="str">
        <f>$H$1</f>
        <v>A</v>
      </c>
      <c r="M9" s="25" t="str">
        <f>$H$2</f>
        <v>J</v>
      </c>
      <c r="N9" s="26" t="str">
        <f>$H$1</f>
        <v>A</v>
      </c>
      <c r="O9" s="27" t="str">
        <f>$H$2</f>
        <v>J</v>
      </c>
      <c r="P9" s="28" t="str">
        <f>$H$1</f>
        <v>A</v>
      </c>
      <c r="Q9" s="25" t="str">
        <f>$H$2</f>
        <v>J</v>
      </c>
      <c r="R9" s="26" t="str">
        <f>$H$1</f>
        <v>A</v>
      </c>
      <c r="S9" s="27" t="str">
        <f>$H$2</f>
        <v>J</v>
      </c>
      <c r="T9" s="28" t="str">
        <f>$H$1</f>
        <v>A</v>
      </c>
      <c r="U9" s="25" t="str">
        <f>$H$2</f>
        <v>J</v>
      </c>
      <c r="V9" s="26" t="str">
        <f>$H$1</f>
        <v>A</v>
      </c>
      <c r="W9" s="27" t="str">
        <f>$H$2</f>
        <v>J</v>
      </c>
      <c r="X9" s="28" t="str">
        <f>$H$1</f>
        <v>A</v>
      </c>
      <c r="Y9" s="25" t="str">
        <f>$H$2</f>
        <v>J</v>
      </c>
      <c r="Z9" s="26" t="str">
        <f>$H$1</f>
        <v>A</v>
      </c>
      <c r="AA9" s="27" t="str">
        <f>$H$2</f>
        <v>J</v>
      </c>
      <c r="AB9" s="28" t="str">
        <f>$H$1</f>
        <v>A</v>
      </c>
      <c r="AC9" s="25" t="str">
        <f>$H$2</f>
        <v>J</v>
      </c>
      <c r="AD9" s="26" t="str">
        <f>$H$1</f>
        <v>A</v>
      </c>
      <c r="AE9" s="27" t="str">
        <f>$H$2</f>
        <v>J</v>
      </c>
      <c r="AF9" s="28" t="str">
        <f>$H$1</f>
        <v>A</v>
      </c>
      <c r="AG9" s="25" t="str">
        <f>$H$2</f>
        <v>J</v>
      </c>
      <c r="AH9" s="26" t="str">
        <f>$H$1</f>
        <v>A</v>
      </c>
      <c r="AI9" s="27" t="str">
        <f>$H$2</f>
        <v>J</v>
      </c>
      <c r="AJ9" s="28" t="str">
        <f>$H$1</f>
        <v>A</v>
      </c>
      <c r="AK9" s="25" t="str">
        <f>$H$2</f>
        <v>J</v>
      </c>
      <c r="AL9" s="26" t="str">
        <f>$H$1</f>
        <v>A</v>
      </c>
      <c r="AM9" s="27" t="str">
        <f>$H$2</f>
        <v>J</v>
      </c>
      <c r="AN9" s="28" t="str">
        <f>$H$1</f>
        <v>A</v>
      </c>
      <c r="AO9" s="25" t="str">
        <f>$H$2</f>
        <v>J</v>
      </c>
      <c r="AP9" s="26" t="str">
        <f>$H$1</f>
        <v>A</v>
      </c>
      <c r="AQ9" s="27" t="str">
        <f>$H$2</f>
        <v>J</v>
      </c>
      <c r="AR9" s="28" t="str">
        <f>$H$1</f>
        <v>A</v>
      </c>
      <c r="AS9" s="25" t="str">
        <f>$H$2</f>
        <v>J</v>
      </c>
      <c r="AT9" s="26" t="str">
        <f>$H$1</f>
        <v>A</v>
      </c>
      <c r="AU9" s="27" t="str">
        <f>$H$2</f>
        <v>J</v>
      </c>
      <c r="AV9" s="28" t="str">
        <f>$H$1</f>
        <v>A</v>
      </c>
      <c r="AW9" s="25" t="str">
        <f>$H$2</f>
        <v>J</v>
      </c>
      <c r="AX9" s="26" t="str">
        <f>$H$1</f>
        <v>A</v>
      </c>
      <c r="AY9" s="27" t="str">
        <f>$H$2</f>
        <v>J</v>
      </c>
      <c r="AZ9" s="28" t="str">
        <f>$H$1</f>
        <v>A</v>
      </c>
      <c r="BA9" s="25" t="str">
        <f>$H$2</f>
        <v>J</v>
      </c>
      <c r="BB9" s="26" t="str">
        <f>$H$1</f>
        <v>A</v>
      </c>
      <c r="BC9" s="27" t="str">
        <f>$H$2</f>
        <v>J</v>
      </c>
      <c r="BD9" s="28" t="str">
        <f>$H$1</f>
        <v>A</v>
      </c>
      <c r="BE9" s="25" t="str">
        <f>$H$2</f>
        <v>J</v>
      </c>
      <c r="BF9" s="26" t="str">
        <f>$H$1</f>
        <v>A</v>
      </c>
      <c r="BG9" s="27" t="str">
        <f>$H$2</f>
        <v>J</v>
      </c>
      <c r="BH9" s="28" t="str">
        <f>$H$1</f>
        <v>A</v>
      </c>
      <c r="BI9" s="25" t="str">
        <f>$H$2</f>
        <v>J</v>
      </c>
      <c r="BJ9" s="26" t="str">
        <f>$H$1</f>
        <v>A</v>
      </c>
      <c r="BK9" s="27" t="str">
        <f>$H$2</f>
        <v>J</v>
      </c>
      <c r="BL9" s="28" t="str">
        <f>$H$1</f>
        <v>A</v>
      </c>
      <c r="BM9" s="24" t="str">
        <f>$H$2</f>
        <v>J</v>
      </c>
      <c r="BN9" s="29" t="s">
        <v>2</v>
      </c>
      <c r="BO9" s="29" t="s">
        <v>6</v>
      </c>
      <c r="BP9" s="29" t="s">
        <v>8</v>
      </c>
    </row>
    <row r="10" spans="2:69">
      <c r="B10" s="6" t="s">
        <v>16</v>
      </c>
      <c r="C10" s="6" t="s">
        <v>17</v>
      </c>
      <c r="D10" s="10"/>
      <c r="E10" s="15"/>
      <c r="F10" s="9"/>
      <c r="G10" s="9"/>
      <c r="H10" s="15"/>
      <c r="I10" s="15"/>
      <c r="J10" s="9"/>
      <c r="K10" s="9"/>
      <c r="L10" s="15"/>
      <c r="M10" s="15"/>
      <c r="N10" s="9"/>
      <c r="O10" s="9"/>
      <c r="P10" s="15"/>
      <c r="Q10" s="15"/>
      <c r="R10" s="9"/>
      <c r="S10" s="9"/>
      <c r="T10" s="15"/>
      <c r="U10" s="15"/>
      <c r="V10" s="9"/>
      <c r="W10" s="9"/>
      <c r="X10" s="15"/>
      <c r="Y10" s="15"/>
      <c r="Z10" s="9"/>
      <c r="AA10" s="9"/>
      <c r="AB10" s="15"/>
      <c r="AC10" s="15"/>
      <c r="AD10" s="9"/>
      <c r="AE10" s="9"/>
      <c r="AF10" s="15"/>
      <c r="AG10" s="15"/>
      <c r="AH10" s="9"/>
      <c r="AI10" s="9"/>
      <c r="AJ10" s="15"/>
      <c r="AK10" s="15"/>
      <c r="AL10" s="9"/>
      <c r="AM10" s="9"/>
      <c r="AN10" s="15">
        <v>7</v>
      </c>
      <c r="AO10" s="15"/>
      <c r="AP10" s="9">
        <v>5</v>
      </c>
      <c r="AQ10" s="9">
        <v>1</v>
      </c>
      <c r="AR10" s="15"/>
      <c r="AS10" s="15"/>
      <c r="AT10" s="9"/>
      <c r="AU10" s="9"/>
      <c r="AV10" s="15"/>
      <c r="AW10" s="15"/>
      <c r="AX10" s="9">
        <v>8</v>
      </c>
      <c r="AY10" s="9"/>
      <c r="AZ10" s="15"/>
      <c r="BA10" s="15"/>
      <c r="BB10" s="15"/>
      <c r="BC10" s="9"/>
      <c r="BD10" s="15"/>
      <c r="BE10" s="15"/>
      <c r="BF10" s="15"/>
      <c r="BG10" s="9"/>
      <c r="BH10" s="15"/>
      <c r="BI10" s="15"/>
      <c r="BJ10" s="9"/>
      <c r="BK10" s="9"/>
      <c r="BL10" s="15"/>
      <c r="BM10" s="10"/>
      <c r="BN10">
        <f>SUMIFS($D10:$BM10,$D$9:$BM$9,$H$1)</f>
        <v>20</v>
      </c>
      <c r="BO10">
        <f>SUMIFS($D10:$BM10,$D$9:$BM$9,$H$2)</f>
        <v>1</v>
      </c>
      <c r="BP10">
        <f>BN10-BO10</f>
        <v>19</v>
      </c>
    </row>
    <row r="11" spans="2:69">
      <c r="B11" s="6" t="s">
        <v>18</v>
      </c>
      <c r="C11" s="6" t="s">
        <v>19</v>
      </c>
      <c r="D11" s="10">
        <v>8</v>
      </c>
      <c r="E11" s="15">
        <v>8</v>
      </c>
      <c r="F11" s="9">
        <v>7</v>
      </c>
      <c r="G11" s="9">
        <v>1</v>
      </c>
      <c r="H11" s="15">
        <v>10</v>
      </c>
      <c r="I11" s="15"/>
      <c r="J11" s="15"/>
      <c r="K11" s="9"/>
      <c r="L11" s="15"/>
      <c r="M11" s="15"/>
      <c r="N11" s="9"/>
      <c r="O11" s="9"/>
      <c r="P11" s="15"/>
      <c r="Q11" s="15"/>
      <c r="R11" s="15"/>
      <c r="S11" s="9"/>
      <c r="T11" s="15"/>
      <c r="U11" s="15"/>
      <c r="V11" s="9"/>
      <c r="W11" s="9"/>
      <c r="X11" s="15"/>
      <c r="Y11" s="15"/>
      <c r="Z11" s="9"/>
      <c r="AA11" s="9"/>
      <c r="AB11" s="15"/>
      <c r="AC11" s="15"/>
      <c r="AD11" s="9"/>
      <c r="AE11" s="9"/>
      <c r="AF11" s="15"/>
      <c r="AG11" s="15"/>
      <c r="AH11" s="9"/>
      <c r="AI11" s="9"/>
      <c r="AJ11" s="15"/>
      <c r="AK11" s="15"/>
      <c r="AL11" s="9"/>
      <c r="AM11" s="9"/>
      <c r="AN11" s="15"/>
      <c r="AO11" s="15"/>
      <c r="AP11" s="9"/>
      <c r="AQ11" s="9"/>
      <c r="AR11" s="15"/>
      <c r="AS11" s="15"/>
      <c r="AT11" s="9"/>
      <c r="AU11" s="9"/>
      <c r="AV11" s="15"/>
      <c r="AW11" s="15"/>
      <c r="AX11" s="9"/>
      <c r="AY11" s="9"/>
      <c r="AZ11" s="15"/>
      <c r="BA11" s="15"/>
      <c r="BB11" s="9"/>
      <c r="BC11" s="9"/>
      <c r="BD11" s="15"/>
      <c r="BE11" s="15"/>
      <c r="BF11" s="9"/>
      <c r="BG11" s="9"/>
      <c r="BH11" s="15"/>
      <c r="BI11" s="15"/>
      <c r="BJ11" s="9"/>
      <c r="BK11" s="9"/>
      <c r="BL11" s="15"/>
      <c r="BM11" s="10"/>
      <c r="BN11">
        <f>SUMIFS($D11:$BM11,$D$9:$BM$9,$H$1)</f>
        <v>25</v>
      </c>
      <c r="BO11">
        <f>SUMIFS($D11:$BM11,$D$9:$BM$9,$H$2)</f>
        <v>9</v>
      </c>
      <c r="BP11">
        <f>BN11-BO11</f>
        <v>16</v>
      </c>
    </row>
    <row r="12" spans="2:69">
      <c r="B12" s="6" t="s">
        <v>20</v>
      </c>
      <c r="C12" s="6" t="s">
        <v>21</v>
      </c>
      <c r="D12" s="10">
        <v>8</v>
      </c>
      <c r="E12" s="15">
        <v>2</v>
      </c>
      <c r="F12" s="9"/>
      <c r="G12" s="9"/>
      <c r="H12" s="15"/>
      <c r="I12" s="15">
        <v>6</v>
      </c>
      <c r="J12" s="9">
        <v>3</v>
      </c>
      <c r="K12" s="9"/>
      <c r="L12" s="15"/>
      <c r="M12" s="15"/>
      <c r="N12" s="9"/>
      <c r="O12" s="9"/>
      <c r="P12" s="15"/>
      <c r="Q12" s="15"/>
      <c r="R12" s="9"/>
      <c r="S12" s="9"/>
      <c r="T12" s="15">
        <v>7</v>
      </c>
      <c r="U12" s="15">
        <v>1</v>
      </c>
      <c r="V12" s="9"/>
      <c r="W12" s="9"/>
      <c r="X12" s="15">
        <v>8</v>
      </c>
      <c r="Y12" s="15">
        <v>8</v>
      </c>
      <c r="Z12" s="9"/>
      <c r="AA12" s="9"/>
      <c r="AB12" s="15"/>
      <c r="AC12" s="15"/>
      <c r="AD12" s="9"/>
      <c r="AE12" s="9"/>
      <c r="AF12" s="15"/>
      <c r="AG12" s="15"/>
      <c r="AH12" s="9"/>
      <c r="AI12" s="9"/>
      <c r="AJ12" s="15"/>
      <c r="AK12" s="15"/>
      <c r="AL12" s="9"/>
      <c r="AM12" s="9"/>
      <c r="AN12" s="15"/>
      <c r="AO12" s="15"/>
      <c r="AP12" s="9"/>
      <c r="AQ12" s="9"/>
      <c r="AR12" s="15"/>
      <c r="AS12" s="15"/>
      <c r="AT12" s="9"/>
      <c r="AU12" s="9"/>
      <c r="AV12" s="15"/>
      <c r="AW12" s="15"/>
      <c r="AX12" s="9"/>
      <c r="AY12" s="9"/>
      <c r="AZ12" s="15"/>
      <c r="BA12" s="15"/>
      <c r="BB12" s="9"/>
      <c r="BC12" s="9"/>
      <c r="BD12" s="15"/>
      <c r="BE12" s="15"/>
      <c r="BF12" s="9"/>
      <c r="BG12" s="9"/>
      <c r="BH12" s="15"/>
      <c r="BI12" s="15"/>
      <c r="BJ12" s="9"/>
      <c r="BK12" s="9"/>
      <c r="BL12" s="15"/>
      <c r="BM12" s="10"/>
      <c r="BN12">
        <f>SUMIFS($D12:$BM12,$D$9:$BM$9,$H$1)</f>
        <v>26</v>
      </c>
      <c r="BO12">
        <f>SUMIFS($D12:$BM12,$D$9:$BM$9,$H$2)</f>
        <v>17</v>
      </c>
      <c r="BP12">
        <f>BN12-BO12</f>
        <v>9</v>
      </c>
    </row>
    <row r="13" spans="2:69">
      <c r="B13" s="6" t="s">
        <v>22</v>
      </c>
      <c r="C13" s="6" t="s">
        <v>23</v>
      </c>
      <c r="D13" s="10"/>
      <c r="E13" s="10"/>
      <c r="H13" s="10"/>
      <c r="I13" s="10"/>
      <c r="L13" s="10"/>
      <c r="M13" s="10"/>
      <c r="P13" s="10"/>
      <c r="Q13" s="10"/>
      <c r="T13" s="10"/>
      <c r="U13" s="10"/>
      <c r="X13" s="10"/>
      <c r="Y13" s="10"/>
      <c r="AB13" s="10"/>
      <c r="AC13" s="10"/>
      <c r="AF13" s="10"/>
      <c r="AG13" s="10"/>
      <c r="AJ13" s="10"/>
      <c r="AK13" s="10"/>
      <c r="AN13" s="10"/>
      <c r="AO13" s="10"/>
      <c r="AR13" s="10"/>
      <c r="AS13" s="10"/>
      <c r="AV13" s="10"/>
      <c r="AW13" s="10"/>
      <c r="AZ13" s="10"/>
      <c r="BA13" s="10"/>
      <c r="BD13" s="10"/>
      <c r="BE13" s="10"/>
      <c r="BH13" s="10"/>
      <c r="BI13" s="10"/>
      <c r="BL13" s="10"/>
      <c r="BM13" s="10"/>
      <c r="BN13">
        <f>SUMIFS($D13:$BM13,$D$9:$BM$9,$H$1)</f>
        <v>0</v>
      </c>
      <c r="BO13">
        <f>SUMIFS($D13:$BM13,$D$9:$BM$9,$H$2)</f>
        <v>0</v>
      </c>
      <c r="BP13">
        <f>BN13-BO13</f>
        <v>0</v>
      </c>
    </row>
    <row r="14" spans="2:69">
      <c r="B14" s="6" t="s">
        <v>24</v>
      </c>
      <c r="C14" s="6" t="s">
        <v>25</v>
      </c>
      <c r="D14" s="15"/>
      <c r="E14" s="15"/>
      <c r="F14" s="9"/>
      <c r="G14" s="9"/>
      <c r="H14" s="15"/>
      <c r="I14" s="15"/>
      <c r="J14" s="9"/>
      <c r="K14" s="9"/>
      <c r="L14" s="15"/>
      <c r="M14" s="15"/>
      <c r="N14" s="9"/>
      <c r="O14" s="9"/>
      <c r="P14" s="15"/>
      <c r="Q14" s="15"/>
      <c r="R14" s="9"/>
      <c r="S14" s="9"/>
      <c r="T14" s="15"/>
      <c r="U14" s="15"/>
      <c r="V14" s="9"/>
      <c r="W14" s="9"/>
      <c r="X14" s="15"/>
      <c r="Y14" s="15"/>
      <c r="Z14" s="9"/>
      <c r="AA14" s="9"/>
      <c r="AB14" s="15"/>
      <c r="AC14" s="15"/>
      <c r="AD14" s="9"/>
      <c r="AE14" s="9"/>
      <c r="AF14" s="15"/>
      <c r="AG14" s="15"/>
      <c r="AH14" s="9"/>
      <c r="AI14" s="9"/>
      <c r="AJ14" s="15"/>
      <c r="AK14" s="15"/>
      <c r="AL14" s="9"/>
      <c r="AM14" s="9"/>
      <c r="AN14" s="15"/>
      <c r="AO14" s="15"/>
      <c r="AP14" s="9"/>
      <c r="AQ14" s="9"/>
      <c r="AR14" s="15"/>
      <c r="AS14" s="15"/>
      <c r="AT14" s="9"/>
      <c r="AU14" s="9"/>
      <c r="AV14" s="15"/>
      <c r="AW14" s="15"/>
      <c r="AX14" s="9"/>
      <c r="AY14" s="9"/>
      <c r="AZ14" s="15"/>
      <c r="BA14" s="15"/>
      <c r="BB14" s="9"/>
      <c r="BC14" s="9"/>
      <c r="BD14" s="15"/>
      <c r="BE14" s="15"/>
      <c r="BF14" s="9"/>
      <c r="BG14" s="9"/>
      <c r="BH14" s="15"/>
      <c r="BI14" s="15"/>
      <c r="BJ14" s="9"/>
      <c r="BK14" s="9"/>
      <c r="BL14" s="15"/>
      <c r="BM14" s="15"/>
      <c r="BN14">
        <f>SUMIFS($D14:$BM14,$D$9:$BM$9,$H$1)</f>
        <v>0</v>
      </c>
      <c r="BO14">
        <f>SUMIFS($D14:$BM14,$D$9:$BM$9,$H$2)</f>
        <v>0</v>
      </c>
      <c r="BP14">
        <f>BN14-BO14</f>
        <v>0</v>
      </c>
    </row>
    <row r="15" spans="2:69">
      <c r="B15" s="6" t="s">
        <v>26</v>
      </c>
      <c r="C15" s="6" t="s">
        <v>27</v>
      </c>
      <c r="D15" s="10"/>
      <c r="E15" s="15"/>
      <c r="F15" s="9"/>
      <c r="G15" s="9"/>
      <c r="H15" s="15"/>
      <c r="I15" s="15"/>
      <c r="J15" s="9"/>
      <c r="K15" s="9"/>
      <c r="L15" s="15"/>
      <c r="M15" s="15"/>
      <c r="N15" s="9"/>
      <c r="O15" s="9"/>
      <c r="P15" s="15"/>
      <c r="Q15" s="15"/>
      <c r="R15" s="9"/>
      <c r="S15" s="9"/>
      <c r="T15" s="15"/>
      <c r="U15" s="15"/>
      <c r="V15" s="9"/>
      <c r="W15" s="9"/>
      <c r="X15" s="15"/>
      <c r="Y15" s="15"/>
      <c r="Z15" s="9"/>
      <c r="AA15" s="9"/>
      <c r="AB15" s="15"/>
      <c r="AC15" s="15"/>
      <c r="AD15" s="9"/>
      <c r="AE15" s="9"/>
      <c r="AF15" s="15"/>
      <c r="AG15" s="15"/>
      <c r="AH15" s="9"/>
      <c r="AI15" s="9"/>
      <c r="AJ15" s="15"/>
      <c r="AK15" s="15"/>
      <c r="AL15" s="9"/>
      <c r="AM15" s="9"/>
      <c r="AN15" s="15"/>
      <c r="AO15" s="15"/>
      <c r="AP15" s="9"/>
      <c r="AQ15" s="9"/>
      <c r="AR15" s="15"/>
      <c r="AS15" s="15"/>
      <c r="AT15" s="9"/>
      <c r="AU15" s="9"/>
      <c r="AV15" s="15"/>
      <c r="AW15" s="15"/>
      <c r="AX15" s="9"/>
      <c r="AY15" s="9"/>
      <c r="AZ15" s="15"/>
      <c r="BA15" s="15"/>
      <c r="BB15" s="9"/>
      <c r="BC15" s="9"/>
      <c r="BD15" s="15"/>
      <c r="BE15" s="15"/>
      <c r="BF15" s="9"/>
      <c r="BG15" s="9"/>
      <c r="BH15" s="15"/>
      <c r="BI15" s="15"/>
      <c r="BJ15" s="9"/>
      <c r="BK15" s="9"/>
      <c r="BL15" s="15"/>
      <c r="BM15" s="10"/>
      <c r="BN15">
        <f>SUMIFS($D15:$BM15,$D$9:$BM$9,$H$1)</f>
        <v>0</v>
      </c>
      <c r="BO15">
        <f>SUMIFS($D15:$BM15,$D$9:$BM$9,$H$2)</f>
        <v>0</v>
      </c>
      <c r="BP15">
        <f>BN15-BO15</f>
        <v>0</v>
      </c>
    </row>
    <row r="16" spans="2:69">
      <c r="B16" s="6" t="s">
        <v>28</v>
      </c>
      <c r="C16" s="6" t="s">
        <v>27</v>
      </c>
      <c r="D16" s="10"/>
      <c r="E16" s="15"/>
      <c r="F16" s="9"/>
      <c r="G16" s="9"/>
      <c r="H16" s="15"/>
      <c r="I16" s="15"/>
      <c r="J16" s="9"/>
      <c r="K16" s="9"/>
      <c r="L16" s="15"/>
      <c r="M16" s="15"/>
      <c r="N16" s="9"/>
      <c r="O16" s="9"/>
      <c r="P16" s="15"/>
      <c r="Q16" s="15"/>
      <c r="R16" s="9"/>
      <c r="S16" s="9"/>
      <c r="T16" s="15"/>
      <c r="U16" s="15"/>
      <c r="V16" s="9"/>
      <c r="W16" s="9"/>
      <c r="X16" s="15"/>
      <c r="Y16" s="15"/>
      <c r="Z16" s="9"/>
      <c r="AA16" s="9"/>
      <c r="AB16" s="15"/>
      <c r="AC16" s="15"/>
      <c r="AD16" s="9"/>
      <c r="AE16" s="9"/>
      <c r="AF16" s="15"/>
      <c r="AG16" s="15"/>
      <c r="AH16" s="9"/>
      <c r="AI16" s="9"/>
      <c r="AJ16" s="15"/>
      <c r="AK16" s="15"/>
      <c r="AL16" s="9"/>
      <c r="AM16" s="9"/>
      <c r="AN16" s="15"/>
      <c r="AO16" s="15"/>
      <c r="AP16" s="9"/>
      <c r="AQ16" s="9"/>
      <c r="AR16" s="15"/>
      <c r="AS16" s="15"/>
      <c r="AT16" s="9"/>
      <c r="AU16" s="9"/>
      <c r="AV16" s="15"/>
      <c r="AW16" s="15"/>
      <c r="AX16" s="9"/>
      <c r="AY16" s="9"/>
      <c r="AZ16" s="15"/>
      <c r="BA16" s="15"/>
      <c r="BB16" s="9"/>
      <c r="BC16" s="9"/>
      <c r="BD16" s="15"/>
      <c r="BE16" s="15"/>
      <c r="BF16" s="9"/>
      <c r="BG16" s="9"/>
      <c r="BH16" s="15"/>
      <c r="BI16" s="15"/>
      <c r="BJ16" s="9"/>
      <c r="BK16" s="9"/>
      <c r="BL16" s="15"/>
      <c r="BM16" s="10"/>
      <c r="BN16">
        <f>SUMIFS($D16:$BM16,$D$9:$BM$9,$H$1)</f>
        <v>0</v>
      </c>
      <c r="BO16">
        <f>SUMIFS($D16:$BM16,$D$9:$BM$9,$H$2)</f>
        <v>0</v>
      </c>
      <c r="BP16">
        <f>BN16-BO16</f>
        <v>0</v>
      </c>
    </row>
    <row r="17" spans="2:68">
      <c r="B17" s="6" t="s">
        <v>29</v>
      </c>
      <c r="C17" s="6" t="s">
        <v>30</v>
      </c>
      <c r="D17" s="10"/>
      <c r="E17" s="10"/>
      <c r="H17" s="10"/>
      <c r="I17" s="10"/>
      <c r="L17" s="10"/>
      <c r="M17" s="10"/>
      <c r="P17" s="10"/>
      <c r="Q17" s="10"/>
      <c r="T17" s="10"/>
      <c r="U17" s="10"/>
      <c r="X17" s="10"/>
      <c r="Y17" s="10"/>
      <c r="AB17" s="10"/>
      <c r="AC17" s="10"/>
      <c r="AF17" s="10"/>
      <c r="AG17" s="10"/>
      <c r="AJ17" s="10"/>
      <c r="AK17" s="10"/>
      <c r="AN17" s="10"/>
      <c r="AO17" s="10"/>
      <c r="AR17" s="10"/>
      <c r="AS17" s="10"/>
      <c r="AV17" s="10"/>
      <c r="AW17" s="10"/>
      <c r="AZ17" s="10"/>
      <c r="BA17" s="10"/>
      <c r="BD17" s="10"/>
      <c r="BE17" s="10"/>
      <c r="BH17" s="10"/>
      <c r="BI17" s="10"/>
      <c r="BL17" s="10"/>
      <c r="BM17" s="10"/>
      <c r="BN17">
        <f>SUMIFS($D17:$BM17,$D$9:$BM$9,$H$1)</f>
        <v>0</v>
      </c>
      <c r="BO17">
        <f>SUMIFS($D17:$BM17,$D$9:$BM$9,$H$2)</f>
        <v>0</v>
      </c>
      <c r="BP17">
        <f>BN17-BO17</f>
        <v>0</v>
      </c>
    </row>
    <row r="18" spans="2:68">
      <c r="B18" s="6" t="s">
        <v>31</v>
      </c>
      <c r="C18" s="6" t="s">
        <v>32</v>
      </c>
      <c r="D18" s="10"/>
      <c r="E18" s="10"/>
      <c r="H18" s="10"/>
      <c r="I18" s="10"/>
      <c r="L18" s="10"/>
      <c r="M18" s="10"/>
      <c r="P18" s="10"/>
      <c r="Q18" s="10"/>
      <c r="T18" s="10"/>
      <c r="U18" s="10"/>
      <c r="X18" s="10"/>
      <c r="Y18" s="10"/>
      <c r="AB18" s="10"/>
      <c r="AC18" s="10"/>
      <c r="AF18" s="10"/>
      <c r="AG18" s="10"/>
      <c r="AJ18" s="10"/>
      <c r="AK18" s="10"/>
      <c r="AN18" s="10"/>
      <c r="AO18" s="10"/>
      <c r="AR18" s="10"/>
      <c r="AS18" s="10"/>
      <c r="AV18" s="10"/>
      <c r="AW18" s="10"/>
      <c r="AZ18" s="10"/>
      <c r="BA18" s="10"/>
      <c r="BD18" s="10"/>
      <c r="BE18" s="10"/>
      <c r="BH18" s="10"/>
      <c r="BI18" s="10"/>
      <c r="BL18" s="10"/>
      <c r="BM18" s="10"/>
      <c r="BN18">
        <f>SUMIFS($D18:$BM18,$D$9:$BM$9,$H$1)</f>
        <v>0</v>
      </c>
      <c r="BO18">
        <f>SUMIFS($D18:$BM18,$D$9:$BM$9,$H$2)</f>
        <v>0</v>
      </c>
      <c r="BP18">
        <f>BN18-BO18</f>
        <v>0</v>
      </c>
    </row>
    <row r="19" spans="2:68">
      <c r="B19" s="6" t="s">
        <v>33</v>
      </c>
      <c r="C19" s="6" t="s">
        <v>34</v>
      </c>
      <c r="D19" s="10"/>
      <c r="E19" s="10"/>
      <c r="H19" s="10"/>
      <c r="I19" s="10"/>
      <c r="L19" s="10"/>
      <c r="M19" s="10"/>
      <c r="P19" s="10"/>
      <c r="Q19" s="10"/>
      <c r="T19" s="10"/>
      <c r="U19" s="10"/>
      <c r="X19" s="10"/>
      <c r="Y19" s="10"/>
      <c r="AB19" s="10"/>
      <c r="AC19" s="10"/>
      <c r="AF19" s="10"/>
      <c r="AG19" s="10"/>
      <c r="AJ19" s="10"/>
      <c r="AK19" s="10"/>
      <c r="AN19" s="10"/>
      <c r="AO19" s="10"/>
      <c r="AR19" s="10"/>
      <c r="AS19" s="10"/>
      <c r="AV19" s="10"/>
      <c r="AW19" s="10"/>
      <c r="AZ19" s="10"/>
      <c r="BA19" s="10"/>
      <c r="BD19" s="10"/>
      <c r="BE19" s="10"/>
      <c r="BH19" s="10"/>
      <c r="BI19" s="10"/>
      <c r="BL19" s="10"/>
      <c r="BM19" s="10"/>
      <c r="BN19">
        <f>SUMIFS($D19:$BM19,$D$9:$BM$9,$H$1)</f>
        <v>0</v>
      </c>
      <c r="BO19">
        <f>SUMIFS($D19:$BM19,$D$9:$BM$9,$H$2)</f>
        <v>0</v>
      </c>
      <c r="BP19">
        <f>BN19-BO19</f>
        <v>0</v>
      </c>
    </row>
    <row r="20" spans="2:68">
      <c r="B20" s="6" t="s">
        <v>35</v>
      </c>
      <c r="C20" s="6" t="s">
        <v>36</v>
      </c>
      <c r="D20" s="10"/>
      <c r="E20" s="15"/>
      <c r="F20" s="9"/>
      <c r="G20" s="9"/>
      <c r="H20" s="15"/>
      <c r="I20" s="15"/>
      <c r="J20" s="9"/>
      <c r="K20" s="9"/>
      <c r="L20" s="15"/>
      <c r="M20" s="15"/>
      <c r="N20" s="9"/>
      <c r="O20" s="9"/>
      <c r="P20" s="15"/>
      <c r="Q20" s="15"/>
      <c r="R20" s="9"/>
      <c r="S20" s="9"/>
      <c r="T20" s="15"/>
      <c r="U20" s="15"/>
      <c r="V20" s="9"/>
      <c r="W20" s="9"/>
      <c r="X20" s="15"/>
      <c r="Y20" s="15"/>
      <c r="Z20" s="9"/>
      <c r="AA20" s="9"/>
      <c r="AB20" s="15"/>
      <c r="AC20" s="15"/>
      <c r="AD20" s="9"/>
      <c r="AE20" s="9"/>
      <c r="AF20" s="15"/>
      <c r="AG20" s="15"/>
      <c r="AH20" s="9"/>
      <c r="AI20" s="9"/>
      <c r="AJ20" s="15"/>
      <c r="AK20" s="15"/>
      <c r="AL20" s="9"/>
      <c r="AM20" s="9"/>
      <c r="AN20" s="15"/>
      <c r="AO20" s="15"/>
      <c r="AP20" s="9"/>
      <c r="AQ20" s="9"/>
      <c r="AR20" s="15"/>
      <c r="AS20" s="15"/>
      <c r="AT20" s="9"/>
      <c r="AU20" s="9"/>
      <c r="AV20" s="15"/>
      <c r="AW20" s="15"/>
      <c r="AX20" s="9"/>
      <c r="AY20" s="9"/>
      <c r="AZ20" s="15"/>
      <c r="BA20" s="15"/>
      <c r="BB20" s="9"/>
      <c r="BC20" s="9"/>
      <c r="BD20" s="15"/>
      <c r="BE20" s="15"/>
      <c r="BF20" s="9"/>
      <c r="BG20" s="9"/>
      <c r="BH20" s="15"/>
      <c r="BI20" s="15"/>
      <c r="BJ20" s="9"/>
      <c r="BK20" s="9"/>
      <c r="BL20" s="15"/>
      <c r="BM20" s="10"/>
      <c r="BN20">
        <f>SUMIFS($D20:$BM20,$D$9:$BM$9,$H$1)</f>
        <v>0</v>
      </c>
      <c r="BO20">
        <f>SUMIFS($D20:$BM20,$D$9:$BM$9,$H$2)</f>
        <v>0</v>
      </c>
      <c r="BP20">
        <f>BN20-BO20</f>
        <v>0</v>
      </c>
    </row>
    <row r="21" spans="2:68">
      <c r="B21" s="6" t="s">
        <v>37</v>
      </c>
      <c r="C21" s="6" t="s">
        <v>38</v>
      </c>
      <c r="D21" s="10"/>
      <c r="E21" s="10"/>
      <c r="H21" s="10"/>
      <c r="I21" s="10"/>
      <c r="L21" s="10"/>
      <c r="M21" s="10"/>
      <c r="P21" s="10"/>
      <c r="Q21" s="10"/>
      <c r="T21" s="10"/>
      <c r="U21" s="10"/>
      <c r="X21" s="10"/>
      <c r="Y21" s="10"/>
      <c r="AB21" s="10"/>
      <c r="AC21" s="10"/>
      <c r="AF21" s="10"/>
      <c r="AG21" s="10"/>
      <c r="AJ21" s="10"/>
      <c r="AK21" s="10"/>
      <c r="AN21" s="10"/>
      <c r="AO21" s="10"/>
      <c r="AR21" s="10"/>
      <c r="AS21" s="10"/>
      <c r="AV21" s="10"/>
      <c r="AW21" s="10"/>
      <c r="AZ21" s="10"/>
      <c r="BA21" s="10"/>
      <c r="BD21" s="10"/>
      <c r="BE21" s="10"/>
      <c r="BH21" s="10"/>
      <c r="BI21" s="10"/>
      <c r="BL21" s="10"/>
      <c r="BM21" s="10"/>
      <c r="BN21">
        <f>SUMIFS($D21:$BM21,$D$9:$BM$9,$H$1)</f>
        <v>0</v>
      </c>
      <c r="BO21">
        <f>SUMIFS($D21:$BM21,$D$9:$BM$9,$H$2)</f>
        <v>0</v>
      </c>
      <c r="BP21">
        <f>BN21-BO21</f>
        <v>0</v>
      </c>
    </row>
    <row r="22" spans="2:68">
      <c r="B22" s="6" t="s">
        <v>39</v>
      </c>
      <c r="C22" s="6" t="s">
        <v>40</v>
      </c>
      <c r="D22" s="10"/>
      <c r="E22" s="10"/>
      <c r="H22" s="10"/>
      <c r="I22" s="10"/>
      <c r="L22" s="10"/>
      <c r="M22" s="10"/>
      <c r="P22" s="10"/>
      <c r="Q22" s="10"/>
      <c r="T22" s="10"/>
      <c r="U22" s="10"/>
      <c r="X22" s="10"/>
      <c r="Y22" s="10"/>
      <c r="AB22" s="10"/>
      <c r="AC22" s="10"/>
      <c r="AF22" s="10"/>
      <c r="AG22" s="10"/>
      <c r="AJ22" s="10"/>
      <c r="AK22" s="10"/>
      <c r="AN22" s="10"/>
      <c r="AO22" s="10"/>
      <c r="AR22" s="10"/>
      <c r="AS22" s="10"/>
      <c r="AV22" s="10"/>
      <c r="AW22" s="10"/>
      <c r="AZ22" s="10"/>
      <c r="BA22" s="10"/>
      <c r="BD22" s="10"/>
      <c r="BE22" s="10"/>
      <c r="BH22" s="10"/>
      <c r="BI22" s="10"/>
      <c r="BL22" s="10"/>
      <c r="BM22" s="10"/>
      <c r="BN22">
        <f>SUMIFS($D22:$BM22,$D$9:$BM$9,$H$1)</f>
        <v>0</v>
      </c>
      <c r="BO22">
        <f>SUMIFS($D22:$BM22,$D$9:$BM$9,$H$2)</f>
        <v>0</v>
      </c>
      <c r="BP22">
        <f>BN22-BO22</f>
        <v>0</v>
      </c>
    </row>
    <row r="23" spans="2:68">
      <c r="B23" s="6" t="s">
        <v>41</v>
      </c>
      <c r="C23" s="6" t="s">
        <v>42</v>
      </c>
      <c r="D23" s="10"/>
      <c r="E23" s="10"/>
      <c r="H23" s="10"/>
      <c r="I23" s="10"/>
      <c r="L23" s="10"/>
      <c r="M23" s="10"/>
      <c r="P23" s="10"/>
      <c r="Q23" s="10"/>
      <c r="T23" s="10"/>
      <c r="U23" s="10"/>
      <c r="X23" s="10"/>
      <c r="Y23" s="10"/>
      <c r="AB23" s="10"/>
      <c r="AC23" s="10"/>
      <c r="AF23" s="10"/>
      <c r="AG23" s="10"/>
      <c r="AJ23" s="10"/>
      <c r="AK23" s="10"/>
      <c r="AN23" s="10"/>
      <c r="AO23" s="10"/>
      <c r="AR23" s="10"/>
      <c r="AS23" s="10"/>
      <c r="AV23" s="10"/>
      <c r="AW23" s="10"/>
      <c r="AZ23" s="10"/>
      <c r="BA23" s="10"/>
      <c r="BD23" s="10"/>
      <c r="BE23" s="10"/>
      <c r="BH23" s="10"/>
      <c r="BI23" s="10"/>
      <c r="BL23" s="10"/>
      <c r="BM23" s="10"/>
      <c r="BN23">
        <f>SUMIFS($D23:$BM23,$D$9:$BM$9,$H$1)</f>
        <v>0</v>
      </c>
      <c r="BO23">
        <f>SUMIFS($D23:$BM23,$D$9:$BM$9,$H$2)</f>
        <v>0</v>
      </c>
      <c r="BP23">
        <f>BN23-BO23</f>
        <v>0</v>
      </c>
    </row>
    <row r="24" spans="2:68">
      <c r="B24" s="6" t="s">
        <v>43</v>
      </c>
      <c r="C24" s="6" t="s">
        <v>44</v>
      </c>
      <c r="D24" s="10"/>
      <c r="E24" s="10"/>
      <c r="H24" s="10"/>
      <c r="I24" s="10"/>
      <c r="L24" s="10"/>
      <c r="M24" s="10"/>
      <c r="P24" s="10"/>
      <c r="Q24" s="10"/>
      <c r="T24" s="10"/>
      <c r="U24" s="10"/>
      <c r="X24" s="10"/>
      <c r="Y24" s="10"/>
      <c r="AB24" s="10"/>
      <c r="AC24" s="10"/>
      <c r="AF24" s="10"/>
      <c r="AG24" s="10"/>
      <c r="AJ24" s="10"/>
      <c r="AK24" s="10"/>
      <c r="AN24" s="10"/>
      <c r="AO24" s="10"/>
      <c r="AR24" s="10"/>
      <c r="AS24" s="10"/>
      <c r="AV24" s="10"/>
      <c r="AW24" s="10"/>
      <c r="AZ24" s="10"/>
      <c r="BA24" s="10"/>
      <c r="BD24" s="10"/>
      <c r="BE24" s="10"/>
      <c r="BH24" s="10"/>
      <c r="BI24" s="10"/>
      <c r="BL24" s="10"/>
      <c r="BM24" s="10"/>
      <c r="BN24">
        <f>SUMIFS($D24:$BM24,$D$9:$BM$9,$H$1)</f>
        <v>0</v>
      </c>
      <c r="BO24">
        <f>SUMIFS($D24:$BM24,$D$9:$BM$9,$H$2)</f>
        <v>0</v>
      </c>
      <c r="BP24">
        <f>BN24-BO24</f>
        <v>0</v>
      </c>
    </row>
    <row r="25" spans="2:68">
      <c r="B25" s="6" t="s">
        <v>45</v>
      </c>
      <c r="C25" s="6" t="s">
        <v>46</v>
      </c>
      <c r="D25" s="10"/>
      <c r="E25" s="10"/>
      <c r="H25" s="10"/>
      <c r="I25" s="10"/>
      <c r="L25" s="10"/>
      <c r="M25" s="10"/>
      <c r="P25" s="10"/>
      <c r="Q25" s="10"/>
      <c r="T25" s="10"/>
      <c r="U25" s="10"/>
      <c r="X25" s="10"/>
      <c r="Y25" s="10"/>
      <c r="AB25" s="10"/>
      <c r="AC25" s="10"/>
      <c r="AF25" s="10"/>
      <c r="AG25" s="10"/>
      <c r="AJ25" s="10"/>
      <c r="AK25" s="10"/>
      <c r="AN25" s="10"/>
      <c r="AO25" s="10"/>
      <c r="AR25" s="10"/>
      <c r="AS25" s="10"/>
      <c r="AV25" s="10"/>
      <c r="AW25" s="10"/>
      <c r="AZ25" s="10"/>
      <c r="BA25" s="10"/>
      <c r="BD25" s="10"/>
      <c r="BE25" s="10"/>
      <c r="BH25" s="10"/>
      <c r="BI25" s="10"/>
      <c r="BL25" s="10"/>
      <c r="BM25" s="10"/>
      <c r="BN25">
        <f>SUMIFS($D25:$BM25,$D$9:$BM$9,$H$1)</f>
        <v>0</v>
      </c>
      <c r="BO25">
        <f>SUMIFS($D25:$BM25,$D$9:$BM$9,$H$2)</f>
        <v>0</v>
      </c>
      <c r="BP25">
        <f>BN25-BO25</f>
        <v>0</v>
      </c>
    </row>
    <row r="26" spans="2:68">
      <c r="B26" s="6" t="s">
        <v>47</v>
      </c>
      <c r="C26" s="6" t="s">
        <v>48</v>
      </c>
      <c r="D26" s="10"/>
      <c r="E26" s="10"/>
      <c r="H26" s="10"/>
      <c r="I26" s="10"/>
      <c r="L26" s="10"/>
      <c r="M26" s="10"/>
      <c r="P26" s="10"/>
      <c r="Q26" s="10"/>
      <c r="T26" s="10"/>
      <c r="U26" s="10"/>
      <c r="X26" s="10"/>
      <c r="Y26" s="10"/>
      <c r="AB26" s="10"/>
      <c r="AC26" s="10"/>
      <c r="AF26" s="10"/>
      <c r="AG26" s="10"/>
      <c r="AJ26" s="10"/>
      <c r="AK26" s="10"/>
      <c r="AN26" s="10"/>
      <c r="AO26" s="10"/>
      <c r="AR26" s="10"/>
      <c r="AS26" s="10"/>
      <c r="AV26" s="10"/>
      <c r="AW26" s="10"/>
      <c r="AZ26" s="10"/>
      <c r="BA26" s="10"/>
      <c r="BD26" s="10"/>
      <c r="BE26" s="10"/>
      <c r="BH26" s="10"/>
      <c r="BI26" s="10"/>
      <c r="BL26" s="10"/>
      <c r="BM26" s="10"/>
      <c r="BN26">
        <f>SUMIFS($D26:$BM26,$D$9:$BM$9,$H$1)</f>
        <v>0</v>
      </c>
      <c r="BO26">
        <f>SUMIFS($D26:$BM26,$D$9:$BM$9,$H$2)</f>
        <v>0</v>
      </c>
      <c r="BP26">
        <f>BN26-BO26</f>
        <v>0</v>
      </c>
    </row>
    <row r="27" spans="2:68">
      <c r="B27" s="6" t="s">
        <v>49</v>
      </c>
      <c r="C27" s="6" t="s">
        <v>50</v>
      </c>
      <c r="D27" s="10"/>
      <c r="E27" s="10"/>
      <c r="H27" s="10"/>
      <c r="I27" s="10"/>
      <c r="L27" s="10"/>
      <c r="M27" s="10"/>
      <c r="P27" s="10"/>
      <c r="Q27" s="10"/>
      <c r="T27" s="10"/>
      <c r="U27" s="10"/>
      <c r="X27" s="10"/>
      <c r="Y27" s="10"/>
      <c r="AB27" s="10"/>
      <c r="AC27" s="10"/>
      <c r="AF27" s="10"/>
      <c r="AG27" s="10"/>
      <c r="AJ27" s="10"/>
      <c r="AK27" s="10"/>
      <c r="AN27" s="10"/>
      <c r="AO27" s="10"/>
      <c r="AR27" s="10"/>
      <c r="AS27" s="10"/>
      <c r="AV27" s="10"/>
      <c r="AW27" s="10"/>
      <c r="AZ27" s="10"/>
      <c r="BA27" s="10"/>
      <c r="BD27" s="10"/>
      <c r="BE27" s="10"/>
      <c r="BH27" s="10"/>
      <c r="BI27" s="10"/>
      <c r="BL27" s="10"/>
      <c r="BM27" s="10"/>
      <c r="BN27">
        <f>SUMIFS($D27:$BM27,$D$9:$BM$9,$H$1)</f>
        <v>0</v>
      </c>
      <c r="BO27">
        <f>SUMIFS($D27:$BM27,$D$9:$BM$9,$H$2)</f>
        <v>0</v>
      </c>
      <c r="BP27">
        <f>BN27-BO27</f>
        <v>0</v>
      </c>
    </row>
    <row r="28" spans="2:68">
      <c r="B28" s="6" t="s">
        <v>51</v>
      </c>
      <c r="C28" s="6" t="s">
        <v>50</v>
      </c>
      <c r="D28" s="10"/>
      <c r="E28" s="10"/>
      <c r="H28" s="10"/>
      <c r="I28" s="10"/>
      <c r="L28" s="10"/>
      <c r="M28" s="10"/>
      <c r="P28" s="10"/>
      <c r="Q28" s="10"/>
      <c r="T28" s="10"/>
      <c r="U28" s="10"/>
      <c r="X28" s="10"/>
      <c r="Y28" s="10"/>
      <c r="AB28" s="10"/>
      <c r="AC28" s="10"/>
      <c r="AF28" s="10"/>
      <c r="AG28" s="10"/>
      <c r="AJ28" s="10"/>
      <c r="AK28" s="10"/>
      <c r="AN28" s="10"/>
      <c r="AO28" s="10"/>
      <c r="AR28" s="10"/>
      <c r="AS28" s="10"/>
      <c r="AV28" s="10"/>
      <c r="AW28" s="10"/>
      <c r="AZ28" s="10"/>
      <c r="BA28" s="10"/>
      <c r="BD28" s="10"/>
      <c r="BE28" s="10"/>
      <c r="BH28" s="10"/>
      <c r="BI28" s="10"/>
      <c r="BL28" s="10"/>
      <c r="BM28" s="10"/>
      <c r="BN28">
        <f>SUMIFS($D28:$BM28,$D$9:$BM$9,$H$1)</f>
        <v>0</v>
      </c>
      <c r="BO28">
        <f>SUMIFS($D28:$BM28,$D$9:$BM$9,$H$2)</f>
        <v>0</v>
      </c>
      <c r="BP28">
        <f>BN28-BO28</f>
        <v>0</v>
      </c>
    </row>
    <row r="29" spans="2:68">
      <c r="B29" s="6" t="s">
        <v>52</v>
      </c>
      <c r="C29" s="6" t="s">
        <v>50</v>
      </c>
      <c r="D29" s="10"/>
      <c r="E29" s="15"/>
      <c r="F29" s="9"/>
      <c r="G29" s="9"/>
      <c r="H29" s="15"/>
      <c r="I29" s="15"/>
      <c r="J29" s="9"/>
      <c r="K29" s="9"/>
      <c r="L29" s="15"/>
      <c r="M29" s="15"/>
      <c r="N29" s="9"/>
      <c r="O29" s="9"/>
      <c r="P29" s="15"/>
      <c r="Q29" s="15"/>
      <c r="R29" s="9"/>
      <c r="S29" s="9"/>
      <c r="T29" s="15"/>
      <c r="U29" s="15"/>
      <c r="V29" s="9"/>
      <c r="W29" s="9"/>
      <c r="X29" s="15"/>
      <c r="Y29" s="15"/>
      <c r="Z29" s="9"/>
      <c r="AA29" s="9"/>
      <c r="AB29" s="15"/>
      <c r="AC29" s="15"/>
      <c r="AD29" s="9"/>
      <c r="AE29" s="9"/>
      <c r="AF29" s="15"/>
      <c r="AG29" s="15"/>
      <c r="AH29" s="9"/>
      <c r="AI29" s="9"/>
      <c r="AJ29" s="15"/>
      <c r="AK29" s="15"/>
      <c r="AL29" s="9"/>
      <c r="AM29" s="9"/>
      <c r="AN29" s="15"/>
      <c r="AO29" s="15"/>
      <c r="AP29" s="9"/>
      <c r="AQ29" s="9"/>
      <c r="AR29" s="15"/>
      <c r="AS29" s="15"/>
      <c r="AT29" s="9"/>
      <c r="AU29" s="9"/>
      <c r="AV29" s="15"/>
      <c r="AW29" s="15"/>
      <c r="AX29" s="9"/>
      <c r="AY29" s="9"/>
      <c r="AZ29" s="15"/>
      <c r="BA29" s="15"/>
      <c r="BB29" s="9"/>
      <c r="BC29" s="9"/>
      <c r="BD29" s="15"/>
      <c r="BE29" s="15"/>
      <c r="BF29" s="9"/>
      <c r="BG29" s="9"/>
      <c r="BH29" s="15"/>
      <c r="BI29" s="15"/>
      <c r="BJ29" s="9"/>
      <c r="BK29" s="9"/>
      <c r="BL29" s="15"/>
      <c r="BM29" s="10"/>
      <c r="BN29">
        <f>SUMIFS($D29:$BM29,$D$9:$BM$9,$H$1)</f>
        <v>0</v>
      </c>
      <c r="BO29">
        <f>SUMIFS($D29:$BM29,$D$9:$BM$9,$H$2)</f>
        <v>0</v>
      </c>
      <c r="BP29">
        <f>BN29-BO29</f>
        <v>0</v>
      </c>
    </row>
    <row r="30" spans="2:68">
      <c r="B30" s="6" t="s">
        <v>53</v>
      </c>
      <c r="C30" s="6" t="s">
        <v>54</v>
      </c>
      <c r="D30" s="10"/>
      <c r="E30" s="10"/>
      <c r="H30" s="10"/>
      <c r="I30" s="10"/>
      <c r="L30" s="10"/>
      <c r="M30" s="10"/>
      <c r="P30" s="10"/>
      <c r="Q30" s="10"/>
      <c r="T30" s="10"/>
      <c r="U30" s="10"/>
      <c r="X30" s="10"/>
      <c r="Y30" s="10"/>
      <c r="AB30" s="10"/>
      <c r="AC30" s="10"/>
      <c r="AF30" s="10"/>
      <c r="AG30" s="10"/>
      <c r="AJ30" s="10"/>
      <c r="AK30" s="10"/>
      <c r="AN30" s="10"/>
      <c r="AO30" s="10"/>
      <c r="AR30" s="10"/>
      <c r="AS30" s="10"/>
      <c r="AV30" s="10"/>
      <c r="AW30" s="10"/>
      <c r="AZ30" s="10"/>
      <c r="BA30" s="10"/>
      <c r="BD30" s="10"/>
      <c r="BE30" s="10"/>
      <c r="BH30" s="10"/>
      <c r="BI30" s="10"/>
      <c r="BL30" s="10"/>
      <c r="BM30" s="10"/>
      <c r="BN30">
        <f>SUMIFS($D30:$BM30,$D$9:$BM$9,$H$1)</f>
        <v>0</v>
      </c>
      <c r="BO30">
        <f>SUMIFS($D30:$BM30,$D$9:$BM$9,$H$2)</f>
        <v>0</v>
      </c>
      <c r="BP30">
        <f>BN30-BO30</f>
        <v>0</v>
      </c>
    </row>
    <row r="31" spans="2:68">
      <c r="B31" s="6" t="s">
        <v>55</v>
      </c>
      <c r="C31" s="6" t="s">
        <v>56</v>
      </c>
      <c r="D31" s="10"/>
      <c r="E31" s="10"/>
      <c r="H31" s="10"/>
      <c r="I31" s="10"/>
      <c r="L31" s="10"/>
      <c r="M31" s="10"/>
      <c r="P31" s="10"/>
      <c r="Q31" s="10"/>
      <c r="T31" s="10"/>
      <c r="U31" s="10"/>
      <c r="X31" s="10"/>
      <c r="Y31" s="10"/>
      <c r="AB31" s="10"/>
      <c r="AC31" s="10"/>
      <c r="AF31" s="10"/>
      <c r="AG31" s="10"/>
      <c r="AJ31" s="10"/>
      <c r="AK31" s="10"/>
      <c r="AN31" s="10"/>
      <c r="AO31" s="10"/>
      <c r="AR31" s="10"/>
      <c r="AS31" s="10"/>
      <c r="AV31" s="10"/>
      <c r="AW31" s="10"/>
      <c r="AZ31" s="10"/>
      <c r="BA31" s="10"/>
      <c r="BD31" s="10"/>
      <c r="BE31" s="10"/>
      <c r="BH31" s="10"/>
      <c r="BI31" s="10"/>
      <c r="BL31" s="10"/>
      <c r="BM31" s="10"/>
      <c r="BN31">
        <f>SUMIFS($D31:$BM31,$D$9:$BM$9,$H$1)</f>
        <v>0</v>
      </c>
      <c r="BO31">
        <f>SUMIFS($D31:$BM31,$D$9:$BM$9,$H$2)</f>
        <v>0</v>
      </c>
      <c r="BP31">
        <f>BN31-BO31</f>
        <v>0</v>
      </c>
    </row>
    <row r="32" spans="2:68">
      <c r="B32" s="6" t="s">
        <v>57</v>
      </c>
      <c r="C32" s="6" t="s">
        <v>56</v>
      </c>
      <c r="D32" s="10"/>
      <c r="E32" s="10"/>
      <c r="H32" s="10"/>
      <c r="I32" s="10"/>
      <c r="L32" s="10"/>
      <c r="M32" s="10"/>
      <c r="P32" s="10"/>
      <c r="Q32" s="10"/>
      <c r="T32" s="10"/>
      <c r="U32" s="10"/>
      <c r="X32" s="10"/>
      <c r="Y32" s="10"/>
      <c r="AB32" s="10"/>
      <c r="AC32" s="10"/>
      <c r="AF32" s="10"/>
      <c r="AG32" s="10"/>
      <c r="AJ32" s="10"/>
      <c r="AK32" s="10"/>
      <c r="AN32" s="10"/>
      <c r="AO32" s="10"/>
      <c r="AR32" s="10"/>
      <c r="AS32" s="10"/>
      <c r="AV32" s="10"/>
      <c r="AW32" s="10"/>
      <c r="AZ32" s="10"/>
      <c r="BA32" s="10"/>
      <c r="BD32" s="10"/>
      <c r="BE32" s="10"/>
      <c r="BH32" s="10"/>
      <c r="BI32" s="10"/>
      <c r="BL32" s="10"/>
      <c r="BM32" s="10"/>
      <c r="BN32">
        <f>SUMIFS($D32:$BM32,$D$9:$BM$9,$H$1)</f>
        <v>0</v>
      </c>
      <c r="BO32">
        <f>SUMIFS($D32:$BM32,$D$9:$BM$9,$H$2)</f>
        <v>0</v>
      </c>
      <c r="BP32">
        <f>BN32-BO32</f>
        <v>0</v>
      </c>
    </row>
    <row r="33" spans="2:68">
      <c r="B33" s="6" t="s">
        <v>58</v>
      </c>
      <c r="C33" s="6" t="s">
        <v>56</v>
      </c>
      <c r="D33" s="10"/>
      <c r="E33" s="10"/>
      <c r="H33" s="10"/>
      <c r="I33" s="10"/>
      <c r="L33" s="10"/>
      <c r="M33" s="10"/>
      <c r="P33" s="10"/>
      <c r="Q33" s="10"/>
      <c r="T33" s="10"/>
      <c r="U33" s="10"/>
      <c r="X33" s="10"/>
      <c r="Y33" s="10"/>
      <c r="AB33" s="10"/>
      <c r="AC33" s="10"/>
      <c r="AF33" s="10"/>
      <c r="AG33" s="10"/>
      <c r="AJ33" s="10"/>
      <c r="AK33" s="10"/>
      <c r="AN33" s="10"/>
      <c r="AO33" s="10"/>
      <c r="AR33" s="10"/>
      <c r="AS33" s="10"/>
      <c r="AV33" s="10"/>
      <c r="AW33" s="10"/>
      <c r="AZ33" s="10"/>
      <c r="BA33" s="10"/>
      <c r="BD33" s="10"/>
      <c r="BE33" s="10"/>
      <c r="BH33" s="10"/>
      <c r="BI33" s="10"/>
      <c r="BL33" s="10"/>
      <c r="BM33" s="10"/>
      <c r="BN33">
        <f>SUMIFS($D33:$BM33,$D$9:$BM$9,$H$1)</f>
        <v>0</v>
      </c>
      <c r="BO33">
        <f>SUMIFS($D33:$BM33,$D$9:$BM$9,$H$2)</f>
        <v>0</v>
      </c>
      <c r="BP33">
        <f>BN33-BO33</f>
        <v>0</v>
      </c>
    </row>
    <row r="34" spans="2:68">
      <c r="B34" s="6" t="s">
        <v>59</v>
      </c>
      <c r="C34" s="6" t="s">
        <v>56</v>
      </c>
      <c r="D34" s="10"/>
      <c r="E34" s="10"/>
      <c r="H34" s="10"/>
      <c r="I34" s="10"/>
      <c r="L34" s="10"/>
      <c r="M34" s="10"/>
      <c r="P34" s="10"/>
      <c r="Q34" s="10"/>
      <c r="T34" s="10"/>
      <c r="U34" s="10"/>
      <c r="X34" s="10"/>
      <c r="Y34" s="10"/>
      <c r="AB34" s="10"/>
      <c r="AC34" s="10"/>
      <c r="AF34" s="10"/>
      <c r="AG34" s="10"/>
      <c r="AJ34" s="10"/>
      <c r="AK34" s="10"/>
      <c r="AN34" s="10"/>
      <c r="AO34" s="10"/>
      <c r="AR34" s="10"/>
      <c r="AS34" s="10"/>
      <c r="AV34" s="10"/>
      <c r="AW34" s="10"/>
      <c r="AZ34" s="10"/>
      <c r="BA34" s="10"/>
      <c r="BD34" s="10"/>
      <c r="BE34" s="10"/>
      <c r="BH34" s="10"/>
      <c r="BI34" s="10"/>
      <c r="BL34" s="10"/>
      <c r="BM34" s="10"/>
      <c r="BN34">
        <f>SUMIFS($D34:$BM34,$D$9:$BM$9,$H$1)</f>
        <v>0</v>
      </c>
      <c r="BO34">
        <f>SUMIFS($D34:$BM34,$D$9:$BM$9,$H$2)</f>
        <v>0</v>
      </c>
      <c r="BP34">
        <f>BN34-BO34</f>
        <v>0</v>
      </c>
    </row>
    <row r="35" spans="2:68">
      <c r="B35" s="6" t="s">
        <v>60</v>
      </c>
      <c r="C35" s="6" t="s">
        <v>61</v>
      </c>
      <c r="D35" s="10"/>
      <c r="E35" s="10"/>
      <c r="H35" s="10"/>
      <c r="I35" s="10"/>
      <c r="L35" s="10"/>
      <c r="M35" s="10"/>
      <c r="P35" s="10"/>
      <c r="Q35" s="10"/>
      <c r="T35" s="10"/>
      <c r="U35" s="10"/>
      <c r="X35" s="10"/>
      <c r="Y35" s="10"/>
      <c r="AB35" s="10"/>
      <c r="AC35" s="10"/>
      <c r="AF35" s="10"/>
      <c r="AG35" s="10"/>
      <c r="AJ35" s="10"/>
      <c r="AK35" s="10"/>
      <c r="AN35" s="10"/>
      <c r="AO35" s="10"/>
      <c r="AR35" s="10"/>
      <c r="AS35" s="10"/>
      <c r="AV35" s="10"/>
      <c r="AW35" s="10"/>
      <c r="AZ35" s="10"/>
      <c r="BA35" s="10"/>
      <c r="BD35" s="10"/>
      <c r="BE35" s="10"/>
      <c r="BH35" s="10"/>
      <c r="BI35" s="10"/>
      <c r="BL35" s="10"/>
      <c r="BM35" s="10"/>
      <c r="BN35">
        <f>SUMIFS($D35:$BM35,$D$9:$BM$9,$H$1)</f>
        <v>0</v>
      </c>
      <c r="BO35">
        <f>SUMIFS($D35:$BM35,$D$9:$BM$9,$H$2)</f>
        <v>0</v>
      </c>
      <c r="BP35">
        <f>BN35-BO35</f>
        <v>0</v>
      </c>
    </row>
    <row r="36" spans="2:68">
      <c r="B36" s="6" t="s">
        <v>62</v>
      </c>
      <c r="C36" s="6" t="s">
        <v>63</v>
      </c>
      <c r="D36" s="10"/>
      <c r="E36" s="10"/>
      <c r="H36" s="10"/>
      <c r="I36" s="10"/>
      <c r="L36" s="10"/>
      <c r="M36" s="10"/>
      <c r="P36" s="10"/>
      <c r="Q36" s="10"/>
      <c r="T36" s="10"/>
      <c r="U36" s="10"/>
      <c r="X36" s="10"/>
      <c r="Y36" s="10"/>
      <c r="AB36" s="10"/>
      <c r="AC36" s="10"/>
      <c r="AF36" s="10"/>
      <c r="AG36" s="10"/>
      <c r="AJ36" s="10"/>
      <c r="AK36" s="10"/>
      <c r="AN36" s="10"/>
      <c r="AO36" s="10"/>
      <c r="AR36" s="10"/>
      <c r="AS36" s="10"/>
      <c r="AV36" s="10"/>
      <c r="AW36" s="10"/>
      <c r="AZ36" s="10"/>
      <c r="BA36" s="10"/>
      <c r="BD36" s="10"/>
      <c r="BE36" s="10"/>
      <c r="BH36" s="10"/>
      <c r="BI36" s="10"/>
      <c r="BL36" s="10"/>
      <c r="BM36" s="10"/>
      <c r="BN36">
        <f>SUMIFS($D36:$BM36,$D$9:$BM$9,$H$1)</f>
        <v>0</v>
      </c>
      <c r="BO36">
        <f>SUMIFS($D36:$BM36,$D$9:$BM$9,$H$2)</f>
        <v>0</v>
      </c>
      <c r="BP36">
        <f>BN36-BO36</f>
        <v>0</v>
      </c>
    </row>
    <row r="37" spans="2:68">
      <c r="B37" s="6" t="s">
        <v>64</v>
      </c>
      <c r="C37" s="6" t="s">
        <v>63</v>
      </c>
      <c r="D37" s="10"/>
      <c r="E37" s="10"/>
      <c r="H37" s="10"/>
      <c r="I37" s="10"/>
      <c r="L37" s="10"/>
      <c r="M37" s="10"/>
      <c r="P37" s="10"/>
      <c r="Q37" s="10"/>
      <c r="T37" s="10"/>
      <c r="U37" s="10"/>
      <c r="X37" s="10"/>
      <c r="Y37" s="10"/>
      <c r="AB37" s="10"/>
      <c r="AC37" s="10"/>
      <c r="AF37" s="10"/>
      <c r="AG37" s="10"/>
      <c r="AJ37" s="10"/>
      <c r="AK37" s="10"/>
      <c r="AN37" s="10"/>
      <c r="AO37" s="10"/>
      <c r="AR37" s="10"/>
      <c r="AS37" s="10"/>
      <c r="AV37" s="10"/>
      <c r="AW37" s="10"/>
      <c r="AZ37" s="10"/>
      <c r="BA37" s="10"/>
      <c r="BD37" s="10"/>
      <c r="BE37" s="10"/>
      <c r="BH37" s="10"/>
      <c r="BI37" s="10"/>
      <c r="BL37" s="10"/>
      <c r="BM37" s="10"/>
      <c r="BN37">
        <f>SUMIFS($D37:$BM37,$D$9:$BM$9,$H$1)</f>
        <v>0</v>
      </c>
      <c r="BO37">
        <f>SUMIFS($D37:$BM37,$D$9:$BM$9,$H$2)</f>
        <v>0</v>
      </c>
      <c r="BP37">
        <f>BN37-BO37</f>
        <v>0</v>
      </c>
    </row>
    <row r="38" spans="2:68">
      <c r="B38" s="6" t="s">
        <v>65</v>
      </c>
      <c r="C38" s="6" t="s">
        <v>66</v>
      </c>
      <c r="D38" s="10"/>
      <c r="E38" s="10"/>
      <c r="H38" s="10"/>
      <c r="I38" s="10"/>
      <c r="L38" s="10"/>
      <c r="M38" s="10"/>
      <c r="P38" s="10"/>
      <c r="Q38" s="10"/>
      <c r="T38" s="10"/>
      <c r="U38" s="10"/>
      <c r="X38" s="10"/>
      <c r="Y38" s="10"/>
      <c r="AB38" s="10"/>
      <c r="AC38" s="10"/>
      <c r="AF38" s="10"/>
      <c r="AG38" s="10"/>
      <c r="AJ38" s="10"/>
      <c r="AK38" s="10"/>
      <c r="AN38" s="10"/>
      <c r="AO38" s="10"/>
      <c r="AR38" s="10"/>
      <c r="AS38" s="10"/>
      <c r="AV38" s="10"/>
      <c r="AW38" s="10"/>
      <c r="AZ38" s="10"/>
      <c r="BA38" s="10"/>
      <c r="BD38" s="10"/>
      <c r="BE38" s="10"/>
      <c r="BH38" s="10"/>
      <c r="BI38" s="10"/>
      <c r="BL38" s="10"/>
      <c r="BM38" s="10"/>
      <c r="BN38">
        <f>SUMIFS($D38:$BM38,$D$9:$BM$9,$H$1)</f>
        <v>0</v>
      </c>
      <c r="BO38">
        <f>SUMIFS($D38:$BM38,$D$9:$BM$9,$H$2)</f>
        <v>0</v>
      </c>
      <c r="BP38">
        <f>BN38-BO38</f>
        <v>0</v>
      </c>
    </row>
    <row r="39" spans="2:68">
      <c r="B39" s="6" t="s">
        <v>67</v>
      </c>
      <c r="C39" s="6" t="s">
        <v>68</v>
      </c>
      <c r="D39" s="10"/>
      <c r="E39" s="10"/>
      <c r="H39" s="10"/>
      <c r="I39" s="10"/>
      <c r="L39" s="10"/>
      <c r="M39" s="10"/>
      <c r="P39" s="10"/>
      <c r="Q39" s="10"/>
      <c r="T39" s="10"/>
      <c r="U39" s="10"/>
      <c r="X39" s="10"/>
      <c r="Y39" s="10"/>
      <c r="AB39" s="10"/>
      <c r="AC39" s="10"/>
      <c r="AF39" s="10"/>
      <c r="AG39" s="10"/>
      <c r="AJ39" s="10"/>
      <c r="AK39" s="10"/>
      <c r="AN39" s="10"/>
      <c r="AO39" s="10"/>
      <c r="AR39" s="10"/>
      <c r="AS39" s="10"/>
      <c r="AV39" s="10"/>
      <c r="AW39" s="10"/>
      <c r="AZ39" s="10"/>
      <c r="BA39" s="10"/>
      <c r="BD39" s="10"/>
      <c r="BE39" s="10"/>
      <c r="BH39" s="10"/>
      <c r="BI39" s="10"/>
      <c r="BL39" s="10"/>
      <c r="BM39" s="10"/>
      <c r="BN39">
        <f>SUMIFS($D39:$BM39,$D$9:$BM$9,$H$1)</f>
        <v>0</v>
      </c>
      <c r="BO39">
        <f>SUMIFS($D39:$BM39,$D$9:$BM$9,$H$2)</f>
        <v>0</v>
      </c>
      <c r="BP39">
        <f>BN39-BO39</f>
        <v>0</v>
      </c>
    </row>
    <row r="40" spans="2:68">
      <c r="B40" s="6" t="s">
        <v>69</v>
      </c>
      <c r="C40" s="6" t="s">
        <v>70</v>
      </c>
      <c r="D40" s="10"/>
      <c r="E40" s="10"/>
      <c r="H40" s="10"/>
      <c r="I40" s="10"/>
      <c r="L40" s="10"/>
      <c r="M40" s="10"/>
      <c r="P40" s="10"/>
      <c r="Q40" s="10"/>
      <c r="T40" s="10"/>
      <c r="U40" s="10"/>
      <c r="X40" s="10"/>
      <c r="Y40" s="10"/>
      <c r="AB40" s="10"/>
      <c r="AC40" s="10"/>
      <c r="AF40" s="10"/>
      <c r="AG40" s="10"/>
      <c r="AJ40" s="10"/>
      <c r="AK40" s="10"/>
      <c r="AN40" s="10"/>
      <c r="AO40" s="10"/>
      <c r="AR40" s="10"/>
      <c r="AS40" s="10"/>
      <c r="AV40" s="10"/>
      <c r="AW40" s="10"/>
      <c r="AZ40" s="10"/>
      <c r="BA40" s="10"/>
      <c r="BD40" s="10"/>
      <c r="BE40" s="10"/>
      <c r="BH40" s="10"/>
      <c r="BI40" s="10"/>
      <c r="BL40" s="10"/>
      <c r="BM40" s="10"/>
      <c r="BN40">
        <f>SUMIFS($D40:$BM40,$D$9:$BM$9,$H$1)</f>
        <v>0</v>
      </c>
      <c r="BO40">
        <f>SUMIFS($D40:$BM40,$D$9:$BM$9,$H$2)</f>
        <v>0</v>
      </c>
      <c r="BP40">
        <f>BN40-BO40</f>
        <v>0</v>
      </c>
    </row>
    <row r="41" spans="2:68">
      <c r="B41" s="6" t="s">
        <v>71</v>
      </c>
      <c r="C41" s="6" t="s">
        <v>72</v>
      </c>
      <c r="D41" s="10"/>
      <c r="E41" s="10"/>
      <c r="H41" s="10"/>
      <c r="I41" s="10"/>
      <c r="L41" s="10"/>
      <c r="M41" s="10"/>
      <c r="P41" s="10"/>
      <c r="Q41" s="10"/>
      <c r="T41" s="10"/>
      <c r="U41" s="10"/>
      <c r="X41" s="10"/>
      <c r="Y41" s="10"/>
      <c r="AB41" s="10"/>
      <c r="AC41" s="10"/>
      <c r="AF41" s="10"/>
      <c r="AG41" s="10"/>
      <c r="AJ41" s="10"/>
      <c r="AK41" s="10"/>
      <c r="AN41" s="10"/>
      <c r="AO41" s="10"/>
      <c r="AR41" s="10"/>
      <c r="AS41" s="10"/>
      <c r="AV41" s="10"/>
      <c r="AW41" s="10"/>
      <c r="AZ41" s="10"/>
      <c r="BA41" s="10"/>
      <c r="BD41" s="10"/>
      <c r="BE41" s="10"/>
      <c r="BH41" s="10"/>
      <c r="BI41" s="10"/>
      <c r="BL41" s="10"/>
      <c r="BM41" s="10"/>
      <c r="BN41">
        <f>SUMIFS($D41:$BM41,$D$9:$BM$9,$H$1)</f>
        <v>0</v>
      </c>
      <c r="BO41">
        <f>SUMIFS($D41:$BM41,$D$9:$BM$9,$H$2)</f>
        <v>0</v>
      </c>
      <c r="BP41">
        <f>BN41-BO41</f>
        <v>0</v>
      </c>
    </row>
    <row r="42" spans="2:68">
      <c r="B42" s="6" t="s">
        <v>73</v>
      </c>
      <c r="C42" s="6" t="s">
        <v>74</v>
      </c>
      <c r="D42" s="10"/>
      <c r="E42" s="10"/>
      <c r="H42" s="10"/>
      <c r="I42" s="10"/>
      <c r="L42" s="10"/>
      <c r="M42" s="10"/>
      <c r="P42" s="10"/>
      <c r="Q42" s="10"/>
      <c r="T42" s="10"/>
      <c r="U42" s="10"/>
      <c r="X42" s="10"/>
      <c r="Y42" s="10"/>
      <c r="AB42" s="10"/>
      <c r="AC42" s="10"/>
      <c r="AF42" s="10"/>
      <c r="AG42" s="10"/>
      <c r="AJ42" s="10"/>
      <c r="AK42" s="10"/>
      <c r="AN42" s="10"/>
      <c r="AO42" s="10"/>
      <c r="AR42" s="10"/>
      <c r="AS42" s="10"/>
      <c r="AV42" s="10"/>
      <c r="AW42" s="10"/>
      <c r="AZ42" s="10"/>
      <c r="BA42" s="10"/>
      <c r="BD42" s="10"/>
      <c r="BE42" s="10"/>
      <c r="BH42" s="10"/>
      <c r="BI42" s="10"/>
      <c r="BL42" s="10"/>
      <c r="BM42" s="10"/>
      <c r="BN42">
        <f>SUMIFS($D42:$BM42,$D$9:$BM$9,$H$1)</f>
        <v>0</v>
      </c>
      <c r="BO42">
        <f>SUMIFS($D42:$BM42,$D$9:$BM$9,$H$2)</f>
        <v>0</v>
      </c>
      <c r="BP42">
        <f>BN42-BO42</f>
        <v>0</v>
      </c>
    </row>
    <row r="43" spans="2:68">
      <c r="B43" s="6" t="s">
        <v>75</v>
      </c>
      <c r="C43" s="6" t="s">
        <v>76</v>
      </c>
      <c r="D43" s="10"/>
      <c r="E43" s="10"/>
      <c r="H43" s="10"/>
      <c r="I43" s="10"/>
      <c r="L43" s="10"/>
      <c r="M43" s="10"/>
      <c r="P43" s="10"/>
      <c r="Q43" s="10"/>
      <c r="T43" s="10"/>
      <c r="U43" s="10"/>
      <c r="X43" s="10"/>
      <c r="Y43" s="10"/>
      <c r="AB43" s="10"/>
      <c r="AC43" s="10"/>
      <c r="AF43" s="10"/>
      <c r="AG43" s="10"/>
      <c r="AJ43" s="10"/>
      <c r="AK43" s="10"/>
      <c r="AN43" s="10"/>
      <c r="AO43" s="10"/>
      <c r="AR43" s="10"/>
      <c r="AS43" s="10"/>
      <c r="AV43" s="10"/>
      <c r="AW43" s="10"/>
      <c r="AZ43" s="10"/>
      <c r="BA43" s="10"/>
      <c r="BD43" s="10"/>
      <c r="BE43" s="10"/>
      <c r="BH43" s="10"/>
      <c r="BI43" s="10"/>
      <c r="BL43" s="10"/>
      <c r="BM43" s="10"/>
      <c r="BN43">
        <f>SUMIFS($D43:$BM43,$D$9:$BM$9,$H$1)</f>
        <v>0</v>
      </c>
      <c r="BO43">
        <f>SUMIFS($D43:$BM43,$D$9:$BM$9,$H$2)</f>
        <v>0</v>
      </c>
      <c r="BP43">
        <f>BN43-BO43</f>
        <v>0</v>
      </c>
    </row>
    <row r="44" spans="2:68">
      <c r="B44" s="6" t="s">
        <v>77</v>
      </c>
      <c r="C44" s="6" t="s">
        <v>78</v>
      </c>
      <c r="D44" s="10"/>
      <c r="E44" s="10"/>
      <c r="H44" s="10"/>
      <c r="I44" s="10"/>
      <c r="L44" s="10"/>
      <c r="M44" s="10"/>
      <c r="P44" s="10"/>
      <c r="Q44" s="10"/>
      <c r="T44" s="10"/>
      <c r="U44" s="10"/>
      <c r="X44" s="10"/>
      <c r="Y44" s="10"/>
      <c r="AB44" s="10"/>
      <c r="AC44" s="10"/>
      <c r="AF44" s="10"/>
      <c r="AG44" s="10"/>
      <c r="AJ44" s="10"/>
      <c r="AK44" s="10"/>
      <c r="AN44" s="10"/>
      <c r="AO44" s="10"/>
      <c r="AR44" s="10"/>
      <c r="AS44" s="10"/>
      <c r="AV44" s="10"/>
      <c r="AW44" s="10"/>
      <c r="AZ44" s="10"/>
      <c r="BA44" s="10"/>
      <c r="BD44" s="10"/>
      <c r="BE44" s="10"/>
      <c r="BH44" s="10"/>
      <c r="BI44" s="10"/>
      <c r="BL44" s="10"/>
      <c r="BM44" s="10"/>
      <c r="BN44">
        <f>SUMIFS($D44:$BM44,$D$9:$BM$9,$H$1)</f>
        <v>0</v>
      </c>
      <c r="BO44">
        <f>SUMIFS($D44:$BM44,$D$9:$BM$9,$H$2)</f>
        <v>0</v>
      </c>
      <c r="BP44">
        <f>BN44-BO44</f>
        <v>0</v>
      </c>
    </row>
    <row r="45" spans="2:68">
      <c r="B45" s="6" t="s">
        <v>79</v>
      </c>
      <c r="C45" s="6" t="s">
        <v>78</v>
      </c>
      <c r="D45" s="10"/>
      <c r="E45" s="10"/>
      <c r="H45" s="10"/>
      <c r="I45" s="10"/>
      <c r="L45" s="10"/>
      <c r="M45" s="10"/>
      <c r="P45" s="10"/>
      <c r="Q45" s="10"/>
      <c r="T45" s="10"/>
      <c r="U45" s="10"/>
      <c r="X45" s="10"/>
      <c r="Y45" s="10"/>
      <c r="AB45" s="10"/>
      <c r="AC45" s="10"/>
      <c r="AF45" s="10"/>
      <c r="AG45" s="10"/>
      <c r="AJ45" s="10"/>
      <c r="AK45" s="10"/>
      <c r="AN45" s="10"/>
      <c r="AO45" s="10"/>
      <c r="AR45" s="10"/>
      <c r="AS45" s="10"/>
      <c r="AV45" s="10"/>
      <c r="AW45" s="10"/>
      <c r="AZ45" s="10"/>
      <c r="BA45" s="10"/>
      <c r="BD45" s="10"/>
      <c r="BE45" s="10"/>
      <c r="BH45" s="10"/>
      <c r="BI45" s="10"/>
      <c r="BL45" s="10"/>
      <c r="BM45" s="10"/>
      <c r="BN45">
        <f>SUMIFS($D45:$BM45,$D$9:$BM$9,$H$1)</f>
        <v>0</v>
      </c>
      <c r="BO45">
        <f>SUMIFS($D45:$BM45,$D$9:$BM$9,$H$2)</f>
        <v>0</v>
      </c>
      <c r="BP45">
        <f>BN45-BO45</f>
        <v>0</v>
      </c>
    </row>
    <row r="46" spans="2:68">
      <c r="B46" s="6" t="s">
        <v>80</v>
      </c>
      <c r="C46" s="6" t="s">
        <v>81</v>
      </c>
      <c r="D46" s="10"/>
      <c r="E46" s="10"/>
      <c r="H46" s="10"/>
      <c r="I46" s="10"/>
      <c r="L46" s="10"/>
      <c r="M46" s="10"/>
      <c r="P46" s="10"/>
      <c r="Q46" s="10"/>
      <c r="T46" s="10"/>
      <c r="U46" s="10"/>
      <c r="X46" s="10"/>
      <c r="Y46" s="10"/>
      <c r="AB46" s="10"/>
      <c r="AC46" s="10"/>
      <c r="AF46" s="10"/>
      <c r="AG46" s="10"/>
      <c r="AJ46" s="10"/>
      <c r="AK46" s="10"/>
      <c r="AN46" s="10"/>
      <c r="AO46" s="10"/>
      <c r="AR46" s="10"/>
      <c r="AS46" s="10"/>
      <c r="AV46" s="10"/>
      <c r="AW46" s="10"/>
      <c r="AZ46" s="10"/>
      <c r="BA46" s="10"/>
      <c r="BD46" s="10"/>
      <c r="BE46" s="10"/>
      <c r="BH46" s="10"/>
      <c r="BI46" s="10"/>
      <c r="BL46" s="10"/>
      <c r="BM46" s="10"/>
      <c r="BN46">
        <f>SUMIFS($D46:$BM46,$D$9:$BM$9,$H$1)</f>
        <v>0</v>
      </c>
      <c r="BO46">
        <f>SUMIFS($D46:$BM46,$D$9:$BM$9,$H$2)</f>
        <v>0</v>
      </c>
      <c r="BP46">
        <f>BN46-BO46</f>
        <v>0</v>
      </c>
    </row>
    <row r="47" spans="2:68">
      <c r="B47" s="6" t="s">
        <v>82</v>
      </c>
      <c r="C47" s="6" t="s">
        <v>81</v>
      </c>
      <c r="D47" s="10"/>
      <c r="E47" s="10"/>
      <c r="H47" s="10"/>
      <c r="I47" s="10"/>
      <c r="L47" s="10"/>
      <c r="M47" s="10"/>
      <c r="P47" s="10"/>
      <c r="Q47" s="10"/>
      <c r="T47" s="10"/>
      <c r="U47" s="10"/>
      <c r="X47" s="10"/>
      <c r="Y47" s="10"/>
      <c r="AB47" s="10"/>
      <c r="AC47" s="10"/>
      <c r="AF47" s="10"/>
      <c r="AG47" s="10"/>
      <c r="AJ47" s="10"/>
      <c r="AK47" s="10"/>
      <c r="AN47" s="10"/>
      <c r="AO47" s="10"/>
      <c r="AR47" s="10"/>
      <c r="AS47" s="10"/>
      <c r="AV47" s="10"/>
      <c r="AW47" s="10"/>
      <c r="AZ47" s="10"/>
      <c r="BA47" s="10"/>
      <c r="BD47" s="10"/>
      <c r="BE47" s="10"/>
      <c r="BH47" s="10"/>
      <c r="BI47" s="10"/>
      <c r="BL47" s="10"/>
      <c r="BM47" s="10"/>
      <c r="BN47">
        <f>SUMIFS($D47:$BM47,$D$9:$BM$9,$H$1)</f>
        <v>0</v>
      </c>
      <c r="BO47">
        <f>SUMIFS($D47:$BM47,$D$9:$BM$9,$H$2)</f>
        <v>0</v>
      </c>
      <c r="BP47">
        <f>BN47-BO47</f>
        <v>0</v>
      </c>
    </row>
    <row r="48" spans="2:68">
      <c r="B48" s="6" t="s">
        <v>83</v>
      </c>
      <c r="C48" s="6" t="s">
        <v>84</v>
      </c>
      <c r="D48" s="15"/>
      <c r="E48" s="15"/>
      <c r="F48" s="9"/>
      <c r="G48" s="9"/>
      <c r="H48" s="15"/>
      <c r="I48" s="15"/>
      <c r="J48" s="9"/>
      <c r="K48" s="9"/>
      <c r="L48" s="15"/>
      <c r="M48" s="15"/>
      <c r="N48" s="9"/>
      <c r="O48" s="9"/>
      <c r="P48" s="15"/>
      <c r="Q48" s="15"/>
      <c r="R48" s="9"/>
      <c r="S48" s="9"/>
      <c r="T48" s="15"/>
      <c r="U48" s="15"/>
      <c r="V48" s="9"/>
      <c r="W48" s="9"/>
      <c r="X48" s="15"/>
      <c r="Y48" s="15"/>
      <c r="Z48" s="9"/>
      <c r="AA48" s="9"/>
      <c r="AB48" s="15"/>
      <c r="AC48" s="15"/>
      <c r="AD48" s="9"/>
      <c r="AE48" s="9"/>
      <c r="AF48" s="15"/>
      <c r="AG48" s="15"/>
      <c r="AH48" s="9"/>
      <c r="AI48" s="9"/>
      <c r="AJ48" s="15"/>
      <c r="AK48" s="15"/>
      <c r="AL48" s="9"/>
      <c r="AM48" s="9"/>
      <c r="AN48" s="15"/>
      <c r="AO48" s="15"/>
      <c r="AP48" s="9"/>
      <c r="AQ48" s="9"/>
      <c r="AR48" s="15"/>
      <c r="AS48" s="15"/>
      <c r="AT48" s="9"/>
      <c r="AU48" s="9"/>
      <c r="AV48" s="15"/>
      <c r="AW48" s="15"/>
      <c r="AX48" s="9"/>
      <c r="AY48" s="9"/>
      <c r="AZ48" s="15"/>
      <c r="BA48" s="15"/>
      <c r="BB48" s="9"/>
      <c r="BC48" s="9"/>
      <c r="BD48" s="15"/>
      <c r="BE48" s="15"/>
      <c r="BF48" s="9"/>
      <c r="BG48" s="9"/>
      <c r="BH48" s="15"/>
      <c r="BI48" s="15"/>
      <c r="BJ48" s="9"/>
      <c r="BK48" s="9"/>
      <c r="BL48" s="15"/>
      <c r="BM48" s="15"/>
      <c r="BN48">
        <f>SUMIFS($D48:$BM48,$D$9:$BM$9,$H$1)</f>
        <v>0</v>
      </c>
      <c r="BO48">
        <f>SUMIFS($D48:$BM48,$D$9:$BM$9,$H$2)</f>
        <v>0</v>
      </c>
      <c r="BP48">
        <f>BN48-BO48</f>
        <v>0</v>
      </c>
    </row>
    <row r="49" spans="2:68">
      <c r="B49" s="6" t="s">
        <v>85</v>
      </c>
      <c r="C49" s="6" t="s">
        <v>86</v>
      </c>
      <c r="D49" s="10"/>
      <c r="E49" s="10"/>
      <c r="H49" s="10"/>
      <c r="I49" s="10"/>
      <c r="L49" s="10"/>
      <c r="M49" s="10"/>
      <c r="P49" s="10"/>
      <c r="Q49" s="10"/>
      <c r="T49" s="10"/>
      <c r="U49" s="10"/>
      <c r="X49" s="10"/>
      <c r="Y49" s="10"/>
      <c r="AB49" s="10"/>
      <c r="AC49" s="10"/>
      <c r="AF49" s="10"/>
      <c r="AG49" s="10"/>
      <c r="AJ49" s="10"/>
      <c r="AK49" s="10"/>
      <c r="AN49" s="10"/>
      <c r="AO49" s="10"/>
      <c r="AR49" s="10"/>
      <c r="AS49" s="10"/>
      <c r="AV49" s="10"/>
      <c r="AW49" s="10"/>
      <c r="AZ49" s="10"/>
      <c r="BA49" s="10"/>
      <c r="BD49" s="10"/>
      <c r="BE49" s="10"/>
      <c r="BH49" s="10"/>
      <c r="BI49" s="10"/>
      <c r="BL49" s="10"/>
      <c r="BM49" s="10"/>
      <c r="BN49">
        <f>SUMIFS($D49:$BM49,$D$9:$BM$9,$H$1)</f>
        <v>0</v>
      </c>
      <c r="BO49">
        <f>SUMIFS($D49:$BM49,$D$9:$BM$9,$H$2)</f>
        <v>0</v>
      </c>
      <c r="BP49">
        <f>BN49-BO49</f>
        <v>0</v>
      </c>
    </row>
    <row r="50" spans="2:68">
      <c r="B50" s="6" t="s">
        <v>87</v>
      </c>
      <c r="C50" s="6" t="s">
        <v>88</v>
      </c>
      <c r="BN50">
        <f>SUMIFS($D50:$BM50,$D$9:$BM$9,$H$1)</f>
        <v>0</v>
      </c>
      <c r="BO50">
        <f>SUMIFS($D50:$BM50,$D$9:$BM$9,$H$2)</f>
        <v>0</v>
      </c>
      <c r="BP50">
        <f>BN50-BO50</f>
        <v>0</v>
      </c>
    </row>
    <row r="51" spans="2:68">
      <c r="B51" s="6" t="s">
        <v>89</v>
      </c>
      <c r="C51" s="6" t="s">
        <v>88</v>
      </c>
      <c r="BN51">
        <f>SUMIFS($D51:$BM51,$D$9:$BM$9,$H$1)</f>
        <v>0</v>
      </c>
      <c r="BO51">
        <f>SUMIFS($D51:$BM51,$D$9:$BM$9,$H$2)</f>
        <v>0</v>
      </c>
      <c r="BP51">
        <f>BN51-BO51</f>
        <v>0</v>
      </c>
    </row>
    <row r="52" spans="2:68">
      <c r="B52" s="6" t="s">
        <v>90</v>
      </c>
      <c r="C52" s="6" t="s">
        <v>91</v>
      </c>
      <c r="BN52">
        <f>SUMIFS($D52:$BM52,$D$9:$BM$9,$H$1)</f>
        <v>0</v>
      </c>
      <c r="BO52">
        <f>SUMIFS($D52:$BM52,$D$9:$BM$9,$H$2)</f>
        <v>0</v>
      </c>
      <c r="BP52">
        <f>BN52-BO52</f>
        <v>0</v>
      </c>
    </row>
    <row r="53" spans="2:68">
      <c r="B53" s="6" t="s">
        <v>92</v>
      </c>
      <c r="C53" s="6" t="s">
        <v>91</v>
      </c>
      <c r="BN53">
        <f>SUMIFS($D53:$BM53,$D$9:$BM$9,$H$1)</f>
        <v>0</v>
      </c>
      <c r="BO53">
        <f>SUMIFS($D53:$BM53,$D$9:$BM$9,$H$2)</f>
        <v>0</v>
      </c>
      <c r="BP53">
        <f>BN53-BO53</f>
        <v>0</v>
      </c>
    </row>
    <row r="54" spans="2:68">
      <c r="B54" s="6" t="s">
        <v>93</v>
      </c>
      <c r="C54" s="6" t="s">
        <v>94</v>
      </c>
      <c r="BN54">
        <f>SUMIFS($D54:$BM54,$D$9:$BM$9,$H$1)</f>
        <v>0</v>
      </c>
      <c r="BO54">
        <f>SUMIFS($D54:$BM54,$D$9:$BM$9,$H$2)</f>
        <v>0</v>
      </c>
      <c r="BP54">
        <f>BN54-BO54</f>
        <v>0</v>
      </c>
    </row>
    <row r="55" spans="2:68">
      <c r="B55" s="6" t="s">
        <v>95</v>
      </c>
      <c r="C55" s="6" t="s">
        <v>94</v>
      </c>
      <c r="BN55">
        <f>SUMIFS($D55:$BM55,$D$9:$BM$9,$H$1)</f>
        <v>0</v>
      </c>
      <c r="BO55">
        <f>SUMIFS($D55:$BM55,$D$9:$BM$9,$H$2)</f>
        <v>0</v>
      </c>
      <c r="BP55">
        <f>BN55-BO55</f>
        <v>0</v>
      </c>
    </row>
    <row r="56" spans="2:68">
      <c r="B56" s="6" t="s">
        <v>96</v>
      </c>
      <c r="C56" s="6" t="s">
        <v>97</v>
      </c>
      <c r="BN56">
        <f>SUMIFS($D56:$BM56,$D$9:$BM$9,$H$1)</f>
        <v>0</v>
      </c>
      <c r="BO56">
        <f>SUMIFS($D56:$BM56,$D$9:$BM$9,$H$2)</f>
        <v>0</v>
      </c>
      <c r="BP56">
        <f>BN56-BO56</f>
        <v>0</v>
      </c>
    </row>
    <row r="57" spans="2:68">
      <c r="B57" s="6" t="s">
        <v>98</v>
      </c>
      <c r="C57" s="6" t="s">
        <v>99</v>
      </c>
      <c r="BN57">
        <f>SUMIFS($D57:$BM57,$D$9:$BM$9,$H$1)</f>
        <v>0</v>
      </c>
      <c r="BO57">
        <f>SUMIFS($D57:$BM57,$D$9:$BM$9,$H$2)</f>
        <v>0</v>
      </c>
      <c r="BP57">
        <f>BN57-BO57</f>
        <v>0</v>
      </c>
    </row>
  </sheetData>
  <sortState xmlns:xlrd2="http://schemas.microsoft.com/office/spreadsheetml/2017/richdata2" ref="B10:BP57">
    <sortCondition descending="1" ref="BP10:BP57"/>
  </sortState>
  <mergeCells count="93">
    <mergeCell ref="AP7:AQ7"/>
    <mergeCell ref="AR7:AS7"/>
    <mergeCell ref="AT7:AU7"/>
    <mergeCell ref="AV7:AW7"/>
    <mergeCell ref="BL7:BM7"/>
    <mergeCell ref="AZ7:BA7"/>
    <mergeCell ref="BB7:BC7"/>
    <mergeCell ref="BD7:BE7"/>
    <mergeCell ref="BF7:BG7"/>
    <mergeCell ref="BH7:BI7"/>
    <mergeCell ref="BJ7:BK7"/>
    <mergeCell ref="P7:Q7"/>
    <mergeCell ref="R7:S7"/>
    <mergeCell ref="T7:U7"/>
    <mergeCell ref="V7:W7"/>
    <mergeCell ref="X7:Y7"/>
    <mergeCell ref="Z7:AA7"/>
    <mergeCell ref="BF6:BG6"/>
    <mergeCell ref="BH6:BI6"/>
    <mergeCell ref="BJ6:BK6"/>
    <mergeCell ref="BL6:BM6"/>
    <mergeCell ref="BB6:BC6"/>
    <mergeCell ref="BD6:BE6"/>
    <mergeCell ref="AF6:AG6"/>
    <mergeCell ref="AX7:AY7"/>
    <mergeCell ref="AB7:AC7"/>
    <mergeCell ref="AD7:AE7"/>
    <mergeCell ref="AF7:AG7"/>
    <mergeCell ref="AH7:AI7"/>
    <mergeCell ref="AJ7:AK7"/>
    <mergeCell ref="AL7:AM7"/>
    <mergeCell ref="AN7:AO7"/>
    <mergeCell ref="D7:E7"/>
    <mergeCell ref="F7:G7"/>
    <mergeCell ref="H7:I7"/>
    <mergeCell ref="J7:K7"/>
    <mergeCell ref="L7:M7"/>
    <mergeCell ref="N7:O7"/>
    <mergeCell ref="AT6:AU6"/>
    <mergeCell ref="AV6:AW6"/>
    <mergeCell ref="AX6:AY6"/>
    <mergeCell ref="AZ6:BA6"/>
    <mergeCell ref="AH6:AI6"/>
    <mergeCell ref="AJ6:AK6"/>
    <mergeCell ref="AL6:AM6"/>
    <mergeCell ref="AN6:AO6"/>
    <mergeCell ref="AP6:AQ6"/>
    <mergeCell ref="AR6:AS6"/>
    <mergeCell ref="V6:W6"/>
    <mergeCell ref="X6:Y6"/>
    <mergeCell ref="Z6:AA6"/>
    <mergeCell ref="AB6:AC6"/>
    <mergeCell ref="AD6:AE6"/>
    <mergeCell ref="BL5:BM5"/>
    <mergeCell ref="D6:E6"/>
    <mergeCell ref="F6:G6"/>
    <mergeCell ref="H6:I6"/>
    <mergeCell ref="J6:K6"/>
    <mergeCell ref="L6:M6"/>
    <mergeCell ref="N6:O6"/>
    <mergeCell ref="P6:Q6"/>
    <mergeCell ref="R6:S6"/>
    <mergeCell ref="T6:U6"/>
    <mergeCell ref="AZ5:BA5"/>
    <mergeCell ref="BB5:BC5"/>
    <mergeCell ref="BD5:BE5"/>
    <mergeCell ref="BF5:BG5"/>
    <mergeCell ref="BH5:BI5"/>
    <mergeCell ref="BJ5:BK5"/>
    <mergeCell ref="AX5:AY5"/>
    <mergeCell ref="AB5:AC5"/>
    <mergeCell ref="AD5:AE5"/>
    <mergeCell ref="AF5:AG5"/>
    <mergeCell ref="AH5:AI5"/>
    <mergeCell ref="AJ5:AK5"/>
    <mergeCell ref="AL5:AM5"/>
    <mergeCell ref="AN5:AO5"/>
    <mergeCell ref="AP5:AQ5"/>
    <mergeCell ref="AR5:AS5"/>
    <mergeCell ref="AT5:AU5"/>
    <mergeCell ref="AV5:AW5"/>
    <mergeCell ref="Z5:AA5"/>
    <mergeCell ref="D5:E5"/>
    <mergeCell ref="F5:G5"/>
    <mergeCell ref="H5:I5"/>
    <mergeCell ref="J5:K5"/>
    <mergeCell ref="L5:M5"/>
    <mergeCell ref="N5:O5"/>
    <mergeCell ref="P5:Q5"/>
    <mergeCell ref="R5:S5"/>
    <mergeCell ref="T5:U5"/>
    <mergeCell ref="V5:W5"/>
    <mergeCell ref="X5:Y5"/>
  </mergeCells>
  <conditionalFormatting sqref="A9:XFD9">
    <cfRule type="cellIs" dxfId="2" priority="3" operator="equal">
      <formula>"J"</formula>
    </cfRule>
    <cfRule type="cellIs" dxfId="1" priority="4" operator="equal">
      <formula>"A"</formula>
    </cfRule>
  </conditionalFormatting>
  <conditionalFormatting sqref="B10:BP60">
    <cfRule type="expression" dxfId="0" priority="2">
      <formula>MOD(ROW(),2)</formula>
    </cfRule>
  </conditionalFormatting>
  <conditionalFormatting sqref="BP10:BP57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{7C060BE2-0EC7-4C18-8111-AB87BAA031C7}</x14:id>
        </ext>
      </extLst>
    </cfRule>
  </conditionalFormatting>
  <dataValidations count="1">
    <dataValidation type="whole" allowBlank="1" showInputMessage="1" showErrorMessage="1" error="Attention: Entier compris entre 0 et 12 !" sqref="D10:BM49" xr:uid="{4A376BBE-40EA-431D-91AA-0C347319D4C2}">
      <formula1>0</formula1>
      <formula2>12</formula2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130" orientation="portrait" r:id="rId1"/>
  <headerFooter>
    <oddFooter>&amp;L&amp;D - &amp;T&amp;RMois de &amp;A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BE2-0EC7-4C18-8111-AB87BAA031C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BP10:BP57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72E2C-D1F8-4734-922D-5628F5153C46}">
  <sheetPr codeName="Feuil3"/>
  <dimension ref="A1:C57"/>
  <sheetViews>
    <sheetView workbookViewId="0">
      <selection activeCell="F13" sqref="F13"/>
    </sheetView>
  </sheetViews>
  <sheetFormatPr defaultColWidth="11.42578125" defaultRowHeight="15"/>
  <cols>
    <col min="1" max="1" width="3.85546875" customWidth="1"/>
    <col min="2" max="2" width="62.140625" customWidth="1"/>
    <col min="3" max="64" width="11.42578125" customWidth="1"/>
    <col min="65" max="65" width="4.42578125" bestFit="1" customWidth="1"/>
    <col min="66" max="66" width="4.28515625" customWidth="1"/>
    <col min="67" max="67" width="7.42578125" bestFit="1" customWidth="1"/>
  </cols>
  <sheetData>
    <row r="1" spans="1:3">
      <c r="A1" t="s">
        <v>122</v>
      </c>
    </row>
    <row r="9" spans="1:3">
      <c r="B9" s="6" t="s">
        <v>123</v>
      </c>
      <c r="C9" s="6" t="s">
        <v>15</v>
      </c>
    </row>
    <row r="10" spans="1:3">
      <c r="B10" t="s">
        <v>16</v>
      </c>
      <c r="C10" t="s">
        <v>17</v>
      </c>
    </row>
    <row r="11" spans="1:3">
      <c r="B11" t="s">
        <v>20</v>
      </c>
      <c r="C11" t="s">
        <v>21</v>
      </c>
    </row>
    <row r="12" spans="1:3">
      <c r="B12" t="s">
        <v>22</v>
      </c>
      <c r="C12" t="s">
        <v>23</v>
      </c>
    </row>
    <row r="13" spans="1:3">
      <c r="B13" t="s">
        <v>24</v>
      </c>
      <c r="C13" t="s">
        <v>25</v>
      </c>
    </row>
    <row r="14" spans="1:3">
      <c r="B14" t="s">
        <v>26</v>
      </c>
      <c r="C14" t="s">
        <v>27</v>
      </c>
    </row>
    <row r="15" spans="1:3">
      <c r="B15" t="s">
        <v>28</v>
      </c>
      <c r="C15" t="s">
        <v>27</v>
      </c>
    </row>
    <row r="16" spans="1:3">
      <c r="B16" t="s">
        <v>29</v>
      </c>
      <c r="C16" t="s">
        <v>30</v>
      </c>
    </row>
    <row r="17" spans="2:3">
      <c r="B17" t="s">
        <v>31</v>
      </c>
      <c r="C17" t="s">
        <v>32</v>
      </c>
    </row>
    <row r="18" spans="2:3">
      <c r="B18" t="s">
        <v>33</v>
      </c>
      <c r="C18" t="s">
        <v>34</v>
      </c>
    </row>
    <row r="19" spans="2:3">
      <c r="B19" t="s">
        <v>35</v>
      </c>
      <c r="C19" t="s">
        <v>36</v>
      </c>
    </row>
    <row r="20" spans="2:3">
      <c r="B20" t="s">
        <v>37</v>
      </c>
      <c r="C20" t="s">
        <v>38</v>
      </c>
    </row>
    <row r="21" spans="2:3">
      <c r="B21" t="s">
        <v>39</v>
      </c>
      <c r="C21" t="s">
        <v>40</v>
      </c>
    </row>
    <row r="22" spans="2:3">
      <c r="B22" t="s">
        <v>41</v>
      </c>
      <c r="C22" t="s">
        <v>42</v>
      </c>
    </row>
    <row r="23" spans="2:3">
      <c r="B23" t="s">
        <v>43</v>
      </c>
      <c r="C23" t="s">
        <v>44</v>
      </c>
    </row>
    <row r="24" spans="2:3">
      <c r="B24" t="s">
        <v>45</v>
      </c>
      <c r="C24" t="s">
        <v>46</v>
      </c>
    </row>
    <row r="25" spans="2:3">
      <c r="B25" t="s">
        <v>47</v>
      </c>
      <c r="C25" t="s">
        <v>48</v>
      </c>
    </row>
    <row r="26" spans="2:3">
      <c r="B26" t="s">
        <v>49</v>
      </c>
      <c r="C26" t="s">
        <v>50</v>
      </c>
    </row>
    <row r="27" spans="2:3">
      <c r="B27" t="s">
        <v>51</v>
      </c>
      <c r="C27" t="s">
        <v>50</v>
      </c>
    </row>
    <row r="28" spans="2:3">
      <c r="B28" t="s">
        <v>52</v>
      </c>
      <c r="C28" t="s">
        <v>50</v>
      </c>
    </row>
    <row r="29" spans="2:3">
      <c r="B29" t="s">
        <v>53</v>
      </c>
      <c r="C29" t="s">
        <v>54</v>
      </c>
    </row>
    <row r="30" spans="2:3">
      <c r="B30" t="s">
        <v>55</v>
      </c>
      <c r="C30" t="s">
        <v>56</v>
      </c>
    </row>
    <row r="31" spans="2:3">
      <c r="B31" t="s">
        <v>57</v>
      </c>
      <c r="C31" t="s">
        <v>56</v>
      </c>
    </row>
    <row r="32" spans="2:3">
      <c r="B32" t="s">
        <v>58</v>
      </c>
      <c r="C32" t="s">
        <v>56</v>
      </c>
    </row>
    <row r="33" spans="2:3">
      <c r="B33" t="s">
        <v>59</v>
      </c>
      <c r="C33" t="s">
        <v>56</v>
      </c>
    </row>
    <row r="34" spans="2:3">
      <c r="B34" t="s">
        <v>60</v>
      </c>
      <c r="C34" t="s">
        <v>61</v>
      </c>
    </row>
    <row r="35" spans="2:3">
      <c r="B35" t="s">
        <v>62</v>
      </c>
      <c r="C35" t="s">
        <v>63</v>
      </c>
    </row>
    <row r="36" spans="2:3">
      <c r="B36" t="s">
        <v>64</v>
      </c>
      <c r="C36" t="s">
        <v>63</v>
      </c>
    </row>
    <row r="37" spans="2:3">
      <c r="B37" t="s">
        <v>65</v>
      </c>
      <c r="C37" t="s">
        <v>66</v>
      </c>
    </row>
    <row r="38" spans="2:3">
      <c r="B38" t="s">
        <v>67</v>
      </c>
      <c r="C38" t="s">
        <v>68</v>
      </c>
    </row>
    <row r="39" spans="2:3">
      <c r="B39" t="s">
        <v>69</v>
      </c>
      <c r="C39" t="s">
        <v>70</v>
      </c>
    </row>
    <row r="40" spans="2:3">
      <c r="B40" t="s">
        <v>71</v>
      </c>
      <c r="C40" t="s">
        <v>72</v>
      </c>
    </row>
    <row r="41" spans="2:3">
      <c r="B41" t="s">
        <v>18</v>
      </c>
      <c r="C41" t="s">
        <v>19</v>
      </c>
    </row>
    <row r="42" spans="2:3">
      <c r="B42" t="s">
        <v>73</v>
      </c>
      <c r="C42" t="s">
        <v>74</v>
      </c>
    </row>
    <row r="43" spans="2:3">
      <c r="B43" t="s">
        <v>75</v>
      </c>
      <c r="C43" t="s">
        <v>76</v>
      </c>
    </row>
    <row r="44" spans="2:3">
      <c r="B44" t="s">
        <v>77</v>
      </c>
      <c r="C44" t="s">
        <v>78</v>
      </c>
    </row>
    <row r="45" spans="2:3">
      <c r="B45" t="s">
        <v>79</v>
      </c>
      <c r="C45" t="s">
        <v>78</v>
      </c>
    </row>
    <row r="46" spans="2:3">
      <c r="B46" t="s">
        <v>80</v>
      </c>
      <c r="C46" t="s">
        <v>81</v>
      </c>
    </row>
    <row r="47" spans="2:3">
      <c r="B47" t="s">
        <v>82</v>
      </c>
      <c r="C47" t="s">
        <v>81</v>
      </c>
    </row>
    <row r="48" spans="2:3">
      <c r="B48" t="s">
        <v>83</v>
      </c>
      <c r="C48" t="s">
        <v>84</v>
      </c>
    </row>
    <row r="49" spans="2:3">
      <c r="B49" t="s">
        <v>85</v>
      </c>
      <c r="C49" t="s">
        <v>86</v>
      </c>
    </row>
    <row r="50" spans="2:3">
      <c r="B50" t="s">
        <v>87</v>
      </c>
      <c r="C50" t="s">
        <v>88</v>
      </c>
    </row>
    <row r="51" spans="2:3">
      <c r="B51" t="s">
        <v>89</v>
      </c>
      <c r="C51" t="s">
        <v>88</v>
      </c>
    </row>
    <row r="52" spans="2:3">
      <c r="B52" t="s">
        <v>90</v>
      </c>
      <c r="C52" t="s">
        <v>91</v>
      </c>
    </row>
    <row r="53" spans="2:3">
      <c r="B53" t="s">
        <v>92</v>
      </c>
      <c r="C53" t="s">
        <v>91</v>
      </c>
    </row>
    <row r="54" spans="2:3">
      <c r="B54" t="s">
        <v>93</v>
      </c>
      <c r="C54" t="s">
        <v>94</v>
      </c>
    </row>
    <row r="55" spans="2:3">
      <c r="B55" t="s">
        <v>95</v>
      </c>
      <c r="C55" t="s">
        <v>94</v>
      </c>
    </row>
    <row r="56" spans="2:3">
      <c r="B56" t="s">
        <v>96</v>
      </c>
      <c r="C56" t="s">
        <v>97</v>
      </c>
    </row>
    <row r="57" spans="2:3">
      <c r="B57" t="s">
        <v>98</v>
      </c>
      <c r="C57" t="s">
        <v>99</v>
      </c>
    </row>
  </sheetData>
  <sortState xmlns:xlrd2="http://schemas.microsoft.com/office/spreadsheetml/2017/richdata2" ref="B10:C57">
    <sortCondition ref="C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Mountaga</dc:creator>
  <cp:keywords/>
  <dc:description/>
  <cp:lastModifiedBy/>
  <cp:revision/>
  <dcterms:created xsi:type="dcterms:W3CDTF">2020-09-05T23:05:32Z</dcterms:created>
  <dcterms:modified xsi:type="dcterms:W3CDTF">2024-10-16T13:06:01Z</dcterms:modified>
  <cp:category/>
  <cp:contentStatus/>
</cp:coreProperties>
</file>